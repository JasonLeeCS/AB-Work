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anheuserbuschinbev.sharepoint.com/sites/USBreweryLogistics/Shared Documents/General/3.1 Tools and Dashboards/"/>
    </mc:Choice>
  </mc:AlternateContent>
  <xr:revisionPtr revIDLastSave="0" documentId="13_ncr:1_{67CCC7E7-BF5B-47F7-A9D9-54B00687A555}" xr6:coauthVersionLast="47" xr6:coauthVersionMax="47" xr10:uidLastSave="{00000000-0000-0000-0000-000000000000}"/>
  <bookViews>
    <workbookView xWindow="28680" yWindow="-120" windowWidth="29040" windowHeight="15720" firstSheet="1" activeTab="1" xr2:uid="{00000000-000D-0000-FFFF-FFFF00000000}"/>
  </bookViews>
  <sheets>
    <sheet name="Chart2" sheetId="3" r:id="rId1"/>
    <sheet name="Scheduler" sheetId="1" r:id="rId2"/>
    <sheet name="Lists" sheetId="2" r:id="rId3"/>
  </sheets>
  <functionGroups builtInGroupCount="19"/>
  <definedNames>
    <definedName name="_xlnm._FilterDatabase" localSheetId="1" hidden="1">Scheduler!$AK$2:$AN$252</definedName>
    <definedName name="DftPct">Scheduler!$M$15</definedName>
    <definedName name="ProductType">Scheduler!$K$15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C30" i="1" l="1"/>
  <c r="K17" i="1"/>
  <c r="K16" i="2"/>
  <c r="J16" i="2" s="1"/>
  <c r="S8" i="2"/>
  <c r="S9" i="2" s="1"/>
  <c r="S7" i="2"/>
  <c r="B2" i="2"/>
  <c r="B3" i="2" s="1"/>
  <c r="B4" i="2" s="1"/>
  <c r="B5" i="2" s="1"/>
  <c r="B6" i="2" s="1"/>
  <c r="B7" i="2" s="1"/>
  <c r="B8" i="2" s="1"/>
  <c r="S10" i="2" l="1"/>
  <c r="S11" i="2"/>
  <c r="C5" i="1"/>
  <c r="C28" i="1" s="1"/>
  <c r="C26" i="1" l="1"/>
  <c r="C10" i="1"/>
  <c r="C11" i="1"/>
  <c r="C19" i="1"/>
  <c r="C17" i="1"/>
  <c r="C6" i="1"/>
  <c r="C20" i="1"/>
  <c r="C23" i="1"/>
  <c r="C13" i="1"/>
  <c r="C7" i="1"/>
  <c r="C15" i="1"/>
  <c r="C16" i="1"/>
  <c r="C18" i="1"/>
  <c r="C9" i="1"/>
  <c r="C21" i="1"/>
  <c r="C24" i="1"/>
  <c r="C22" i="1"/>
  <c r="C29" i="1"/>
  <c r="C12" i="1"/>
  <c r="C27" i="1"/>
  <c r="D5" i="1"/>
  <c r="D24" i="1" s="1"/>
  <c r="C8" i="1"/>
  <c r="C4" i="1"/>
  <c r="C14" i="1"/>
  <c r="C25" i="1"/>
  <c r="D11" i="1" l="1"/>
  <c r="E5" i="1"/>
  <c r="E20" i="1" s="1"/>
  <c r="D14" i="1"/>
  <c r="D4" i="1"/>
  <c r="D28" i="1"/>
  <c r="D21" i="1"/>
  <c r="D9" i="1"/>
  <c r="D29" i="1"/>
  <c r="D16" i="1"/>
  <c r="D18" i="1"/>
  <c r="C31" i="1"/>
  <c r="D22" i="1"/>
  <c r="D19" i="1"/>
  <c r="D17" i="1"/>
  <c r="D6" i="1"/>
  <c r="D15" i="1"/>
  <c r="D27" i="1"/>
  <c r="D26" i="1"/>
  <c r="D25" i="1"/>
  <c r="D10" i="1"/>
  <c r="D8" i="1"/>
  <c r="D23" i="1"/>
  <c r="D13" i="1"/>
  <c r="D7" i="1"/>
  <c r="D20" i="1"/>
  <c r="D12" i="1"/>
  <c r="E7" i="1" l="1"/>
  <c r="E12" i="1"/>
  <c r="E14" i="1"/>
  <c r="E4" i="1"/>
  <c r="E28" i="1"/>
  <c r="E27" i="1"/>
  <c r="E21" i="1"/>
  <c r="E24" i="1"/>
  <c r="E22" i="1"/>
  <c r="E6" i="1"/>
  <c r="E26" i="1"/>
  <c r="E17" i="1"/>
  <c r="E15" i="1"/>
  <c r="E10" i="1"/>
  <c r="E9" i="1"/>
  <c r="E8" i="1"/>
  <c r="E13" i="1"/>
  <c r="E16" i="1"/>
  <c r="E29" i="1"/>
  <c r="E23" i="1"/>
  <c r="E25" i="1"/>
  <c r="F5" i="1"/>
  <c r="F16" i="1" s="1"/>
  <c r="E11" i="1"/>
  <c r="E19" i="1"/>
  <c r="E18" i="1"/>
  <c r="D31" i="1"/>
  <c r="F22" i="1" l="1"/>
  <c r="F17" i="1"/>
  <c r="F15" i="1"/>
  <c r="F13" i="1"/>
  <c r="F29" i="1"/>
  <c r="F12" i="1"/>
  <c r="F27" i="1"/>
  <c r="F18" i="1"/>
  <c r="F9" i="1"/>
  <c r="F24" i="1"/>
  <c r="F4" i="1"/>
  <c r="F23" i="1"/>
  <c r="F21" i="1"/>
  <c r="F10" i="1"/>
  <c r="G5" i="1"/>
  <c r="G14" i="1" s="1"/>
  <c r="F11" i="1"/>
  <c r="F26" i="1"/>
  <c r="E31" i="1"/>
  <c r="F6" i="1"/>
  <c r="F7" i="1"/>
  <c r="F25" i="1"/>
  <c r="F14" i="1"/>
  <c r="F28" i="1"/>
  <c r="F20" i="1"/>
  <c r="F8" i="1"/>
  <c r="F19" i="1"/>
  <c r="G10" i="1" l="1"/>
  <c r="G8" i="1"/>
  <c r="G23" i="1"/>
  <c r="G19" i="1"/>
  <c r="G15" i="1"/>
  <c r="G4" i="1"/>
  <c r="H5" i="1"/>
  <c r="H15" i="1" s="1"/>
  <c r="G6" i="1"/>
  <c r="G20" i="1"/>
  <c r="G29" i="1"/>
  <c r="G27" i="1"/>
  <c r="G25" i="1"/>
  <c r="G21" i="1"/>
  <c r="G18" i="1"/>
  <c r="G22" i="1"/>
  <c r="G9" i="1"/>
  <c r="G24" i="1"/>
  <c r="G17" i="1"/>
  <c r="G7" i="1"/>
  <c r="G13" i="1"/>
  <c r="G28" i="1"/>
  <c r="G12" i="1"/>
  <c r="G26" i="1"/>
  <c r="G16" i="1"/>
  <c r="G11" i="1"/>
  <c r="F31" i="1"/>
  <c r="H21" i="1" l="1"/>
  <c r="H22" i="1"/>
  <c r="H23" i="1"/>
  <c r="H4" i="1"/>
  <c r="I5" i="1"/>
  <c r="I11" i="1" s="1"/>
  <c r="H27" i="1"/>
  <c r="H11" i="1"/>
  <c r="H10" i="1"/>
  <c r="H17" i="1"/>
  <c r="H26" i="1"/>
  <c r="H7" i="1"/>
  <c r="H13" i="1"/>
  <c r="H20" i="1"/>
  <c r="H28" i="1"/>
  <c r="H14" i="1"/>
  <c r="H25" i="1"/>
  <c r="H19" i="1"/>
  <c r="H24" i="1"/>
  <c r="H8" i="1"/>
  <c r="H12" i="1"/>
  <c r="H6" i="1"/>
  <c r="H18" i="1"/>
  <c r="H16" i="1"/>
  <c r="H29" i="1"/>
  <c r="H9" i="1"/>
  <c r="G31" i="1"/>
  <c r="I18" i="1" l="1"/>
  <c r="I23" i="1"/>
  <c r="I13" i="1"/>
  <c r="I28" i="1"/>
  <c r="I4" i="1"/>
  <c r="I15" i="1"/>
  <c r="I8" i="1"/>
  <c r="I29" i="1"/>
  <c r="I21" i="1"/>
  <c r="I14" i="1"/>
  <c r="I25" i="1"/>
  <c r="I9" i="1"/>
  <c r="I6" i="1"/>
  <c r="I20" i="1"/>
  <c r="I17" i="1"/>
  <c r="I16" i="1"/>
  <c r="I7" i="1"/>
  <c r="I22" i="1"/>
  <c r="I10" i="1"/>
  <c r="I19" i="1"/>
  <c r="I27" i="1"/>
  <c r="I12" i="1"/>
  <c r="I24" i="1"/>
  <c r="I26" i="1"/>
  <c r="H31" i="1"/>
  <c r="I31" i="1" l="1"/>
</calcChain>
</file>

<file path=xl/sharedStrings.xml><?xml version="1.0" encoding="utf-8"?>
<sst xmlns="http://schemas.openxmlformats.org/spreadsheetml/2006/main" count="1041" uniqueCount="435">
  <si>
    <t>Future Shipments</t>
  </si>
  <si>
    <t>Drags:</t>
  </si>
  <si>
    <t>Load Type:</t>
  </si>
  <si>
    <t xml:space="preserve">  Live</t>
  </si>
  <si>
    <t>Schedule for:</t>
  </si>
  <si>
    <t>NEWARK</t>
  </si>
  <si>
    <t>MERR</t>
  </si>
  <si>
    <t>SCAC</t>
  </si>
  <si>
    <t>Shipnum</t>
  </si>
  <si>
    <t>Pull Time</t>
  </si>
  <si>
    <t>Pull Date</t>
  </si>
  <si>
    <t>ShipNum</t>
  </si>
  <si>
    <t>02:00</t>
  </si>
  <si>
    <t>03:00</t>
  </si>
  <si>
    <t>12:00</t>
  </si>
  <si>
    <t>Scheduled Pickup Time</t>
  </si>
  <si>
    <t>00:01</t>
  </si>
  <si>
    <t>22:00</t>
  </si>
  <si>
    <t>01:00</t>
  </si>
  <si>
    <t>20:00</t>
  </si>
  <si>
    <t>08:00</t>
  </si>
  <si>
    <t>16:00</t>
  </si>
  <si>
    <t>04:00</t>
  </si>
  <si>
    <t>05:00</t>
  </si>
  <si>
    <t>15:00</t>
  </si>
  <si>
    <t>06:00</t>
  </si>
  <si>
    <t>14:00</t>
  </si>
  <si>
    <t>07:00</t>
  </si>
  <si>
    <t>Product Type</t>
  </si>
  <si>
    <t>09:00</t>
  </si>
  <si>
    <t>ALL</t>
  </si>
  <si>
    <t>10:00</t>
  </si>
  <si>
    <t>11:00</t>
  </si>
  <si>
    <t>13:00</t>
  </si>
  <si>
    <t>17:00</t>
  </si>
  <si>
    <t>18:00</t>
  </si>
  <si>
    <t>19:00</t>
  </si>
  <si>
    <t>23:00</t>
  </si>
  <si>
    <t>21:00</t>
  </si>
  <si>
    <t>DRAGS</t>
  </si>
  <si>
    <t>TOTAL</t>
  </si>
  <si>
    <t>UCL:</t>
  </si>
  <si>
    <t>*All loads shown are LIVE</t>
  </si>
  <si>
    <t>Day #</t>
  </si>
  <si>
    <t>Weekday</t>
  </si>
  <si>
    <t>Month</t>
  </si>
  <si>
    <t>Month #</t>
  </si>
  <si>
    <t>Month Abbr.</t>
  </si>
  <si>
    <t>Days</t>
  </si>
  <si>
    <t>Brewery</t>
  </si>
  <si>
    <t>BREWERY</t>
  </si>
  <si>
    <t>Brwy</t>
  </si>
  <si>
    <t>State</t>
  </si>
  <si>
    <t>SCM</t>
  </si>
  <si>
    <t>Dedicated Fleet</t>
  </si>
  <si>
    <t>Spotting Service</t>
  </si>
  <si>
    <t>Shift #</t>
  </si>
  <si>
    <t>Start Time</t>
  </si>
  <si>
    <t>Name</t>
  </si>
  <si>
    <t>Monday</t>
  </si>
  <si>
    <t>January</t>
  </si>
  <si>
    <t>Jan</t>
  </si>
  <si>
    <t>Baldwinsville</t>
  </si>
  <si>
    <t>BALDWINSVILLE</t>
  </si>
  <si>
    <t>BLDV</t>
  </si>
  <si>
    <t>NY</t>
  </si>
  <si>
    <t>Charlie Hornsey</t>
  </si>
  <si>
    <t>NFI</t>
  </si>
  <si>
    <t>GYPE</t>
  </si>
  <si>
    <t>Midnight</t>
  </si>
  <si>
    <t>Tuesday</t>
  </si>
  <si>
    <t>February</t>
  </si>
  <si>
    <t>Feb</t>
  </si>
  <si>
    <t>Cartersville</t>
  </si>
  <si>
    <t>CARTERSVILLE</t>
  </si>
  <si>
    <t>CRTV</t>
  </si>
  <si>
    <t>GA</t>
  </si>
  <si>
    <t>David Huskisson</t>
  </si>
  <si>
    <t>CR England</t>
  </si>
  <si>
    <t>GATE</t>
  </si>
  <si>
    <t>Day</t>
  </si>
  <si>
    <t>Wednesday</t>
  </si>
  <si>
    <t>March</t>
  </si>
  <si>
    <t>Mar</t>
  </si>
  <si>
    <t>Columbus</t>
  </si>
  <si>
    <t>COLUMBUS</t>
  </si>
  <si>
    <t>COL</t>
  </si>
  <si>
    <t>OH</t>
  </si>
  <si>
    <t>Logan Potere</t>
  </si>
  <si>
    <t>Werner</t>
  </si>
  <si>
    <t>Afternoon</t>
  </si>
  <si>
    <t>Thursday</t>
  </si>
  <si>
    <t>April</t>
  </si>
  <si>
    <t>Apr</t>
  </si>
  <si>
    <t>Fairfield</t>
  </si>
  <si>
    <t>FAIRFIELD</t>
  </si>
  <si>
    <t>FFD</t>
  </si>
  <si>
    <t>CA</t>
  </si>
  <si>
    <t>Heidi Jett</t>
  </si>
  <si>
    <t>Biagi Brothers</t>
  </si>
  <si>
    <t>BIAD</t>
  </si>
  <si>
    <t>Friday</t>
  </si>
  <si>
    <t>May</t>
  </si>
  <si>
    <t>Fort Collins</t>
  </si>
  <si>
    <t>FORT COLLINS</t>
  </si>
  <si>
    <t>FCL</t>
  </si>
  <si>
    <t>CO</t>
  </si>
  <si>
    <t>Nick Taege</t>
  </si>
  <si>
    <t>RCS</t>
  </si>
  <si>
    <t>Saturday</t>
  </si>
  <si>
    <t>June</t>
  </si>
  <si>
    <t>Jun</t>
  </si>
  <si>
    <t>Houston</t>
  </si>
  <si>
    <t>HOUSTON</t>
  </si>
  <si>
    <t>HTN</t>
  </si>
  <si>
    <t>TX</t>
  </si>
  <si>
    <t>Tom Robinson</t>
  </si>
  <si>
    <t>JB Hunt</t>
  </si>
  <si>
    <t>HIRS</t>
  </si>
  <si>
    <t>Today:</t>
  </si>
  <si>
    <t>Sunday</t>
  </si>
  <si>
    <t>July</t>
  </si>
  <si>
    <t>Jul</t>
  </si>
  <si>
    <t>Jacksonville</t>
  </si>
  <si>
    <t>JACKSONVILLE</t>
  </si>
  <si>
    <t>JKSV</t>
  </si>
  <si>
    <t>FL</t>
  </si>
  <si>
    <t>Brad Gillam</t>
  </si>
  <si>
    <t>GTGA</t>
  </si>
  <si>
    <t>Time:</t>
  </si>
  <si>
    <t>August</t>
  </si>
  <si>
    <t>Aug</t>
  </si>
  <si>
    <t>Los Angeles</t>
  </si>
  <si>
    <t>LOS ANGELES</t>
  </si>
  <si>
    <t>LA</t>
  </si>
  <si>
    <t>Andrew Wenzara</t>
  </si>
  <si>
    <t>Shift:</t>
  </si>
  <si>
    <t>September</t>
  </si>
  <si>
    <t>Sep</t>
  </si>
  <si>
    <t>Merrimack</t>
  </si>
  <si>
    <t>MERRIMACK</t>
  </si>
  <si>
    <t>NH</t>
  </si>
  <si>
    <t>Mark McCarey</t>
  </si>
  <si>
    <t>NAFD</t>
  </si>
  <si>
    <t>Weekday:</t>
  </si>
  <si>
    <t>October</t>
  </si>
  <si>
    <t>Oct</t>
  </si>
  <si>
    <t>Newark</t>
  </si>
  <si>
    <t>NWK</t>
  </si>
  <si>
    <t>NJ</t>
  </si>
  <si>
    <t>Scott Hvozdovic</t>
  </si>
  <si>
    <t>LITK</t>
  </si>
  <si>
    <t>Month:</t>
  </si>
  <si>
    <t>Weekday Type</t>
  </si>
  <si>
    <t>November</t>
  </si>
  <si>
    <t>Nov</t>
  </si>
  <si>
    <t>St. Louis</t>
  </si>
  <si>
    <t>SAINT LOUIS</t>
  </si>
  <si>
    <t>STL</t>
  </si>
  <si>
    <t>MO</t>
  </si>
  <si>
    <t>Randy Schmitt</t>
  </si>
  <si>
    <t>December</t>
  </si>
  <si>
    <t>Dec</t>
  </si>
  <si>
    <t>Williamsburg</t>
  </si>
  <si>
    <t>WILLIAMSBURG</t>
  </si>
  <si>
    <t>WMS</t>
  </si>
  <si>
    <t>VA</t>
  </si>
  <si>
    <t>Agnes Nash</t>
  </si>
  <si>
    <t>Brewery Selected:</t>
  </si>
  <si>
    <t>Product Types</t>
  </si>
  <si>
    <t>Load Types</t>
  </si>
  <si>
    <t>ALL OUTBOUND</t>
  </si>
  <si>
    <t>DRAUGHT</t>
  </si>
  <si>
    <t xml:space="preserve">  Dedicated</t>
  </si>
  <si>
    <t>PKG ONLY</t>
  </si>
  <si>
    <t xml:space="preserve">  Asset-OTR</t>
  </si>
  <si>
    <t>inbnd_shpmt_stat_cd</t>
  </si>
  <si>
    <t>inbd_shpmt_typ_cd</t>
  </si>
  <si>
    <t>RAIL</t>
  </si>
  <si>
    <t>Open</t>
  </si>
  <si>
    <t>Beer Return</t>
  </si>
  <si>
    <t>ALL INBOUND</t>
  </si>
  <si>
    <t>On-Premise</t>
  </si>
  <si>
    <t>New Material</t>
  </si>
  <si>
    <t xml:space="preserve">  Inbound TR</t>
  </si>
  <si>
    <t>Unloading</t>
  </si>
  <si>
    <t>TR</t>
  </si>
  <si>
    <t xml:space="preserve">  Inbound MTRL</t>
  </si>
  <si>
    <t>Unload in Prog</t>
  </si>
  <si>
    <t>Beer/TR</t>
  </si>
  <si>
    <t xml:space="preserve">  Inbound BEER</t>
  </si>
  <si>
    <t>picked, not clsd</t>
  </si>
  <si>
    <t>Interplant</t>
  </si>
  <si>
    <t>UNCOVERED</t>
  </si>
  <si>
    <t>closed</t>
  </si>
  <si>
    <t>Cancelled</t>
  </si>
  <si>
    <t>can't use Ship date bc not all shipments include that</t>
  </si>
  <si>
    <t>30616199</t>
  </si>
  <si>
    <t>2025-11-20</t>
  </si>
  <si>
    <t>30622955</t>
  </si>
  <si>
    <t>2025-11-19</t>
  </si>
  <si>
    <t>30620035</t>
  </si>
  <si>
    <t>30620065</t>
  </si>
  <si>
    <t>2025-11-18</t>
  </si>
  <si>
    <t>2025-11-14</t>
  </si>
  <si>
    <t>30616216</t>
  </si>
  <si>
    <t>30624379</t>
  </si>
  <si>
    <t>30624375</t>
  </si>
  <si>
    <t>30622368</t>
  </si>
  <si>
    <t>30624369</t>
  </si>
  <si>
    <t>30622359</t>
  </si>
  <si>
    <t>30620074</t>
  </si>
  <si>
    <t>30622367</t>
  </si>
  <si>
    <t>30602037</t>
  </si>
  <si>
    <t>2025-11-17</t>
  </si>
  <si>
    <t>ENLH</t>
  </si>
  <si>
    <t>30622353</t>
  </si>
  <si>
    <t>30624382</t>
  </si>
  <si>
    <t>30622365</t>
  </si>
  <si>
    <t>30624367</t>
  </si>
  <si>
    <t>30624364</t>
  </si>
  <si>
    <t>30616204</t>
  </si>
  <si>
    <t>30624366</t>
  </si>
  <si>
    <t>30620055</t>
  </si>
  <si>
    <t>30620069</t>
  </si>
  <si>
    <t>30620068</t>
  </si>
  <si>
    <t>30609840</t>
  </si>
  <si>
    <t>30620060</t>
  </si>
  <si>
    <t>30620053</t>
  </si>
  <si>
    <t>30620067</t>
  </si>
  <si>
    <t>30606448</t>
  </si>
  <si>
    <t>30624368</t>
  </si>
  <si>
    <t>30622348</t>
  </si>
  <si>
    <t>30620078</t>
  </si>
  <si>
    <t>30624381</t>
  </si>
  <si>
    <t>30622361</t>
  </si>
  <si>
    <t>30618530</t>
  </si>
  <si>
    <t>30616205</t>
  </si>
  <si>
    <t>30620066</t>
  </si>
  <si>
    <t>30612645</t>
  </si>
  <si>
    <t>30624370</t>
  </si>
  <si>
    <t>30620075</t>
  </si>
  <si>
    <t>30620054</t>
  </si>
  <si>
    <t>30616212</t>
  </si>
  <si>
    <t>30616202</t>
  </si>
  <si>
    <t>30622360</t>
  </si>
  <si>
    <t>30604854</t>
  </si>
  <si>
    <t>30616198</t>
  </si>
  <si>
    <t>30622350</t>
  </si>
  <si>
    <t>30622370</t>
  </si>
  <si>
    <t>30624378</t>
  </si>
  <si>
    <t>30622369</t>
  </si>
  <si>
    <t>30606319</t>
  </si>
  <si>
    <t>30624383</t>
  </si>
  <si>
    <t>30620076</t>
  </si>
  <si>
    <t>30620037</t>
  </si>
  <si>
    <t>30611940</t>
  </si>
  <si>
    <t>30620064</t>
  </si>
  <si>
    <t>30620059</t>
  </si>
  <si>
    <t>30616197</t>
  </si>
  <si>
    <t>30590761</t>
  </si>
  <si>
    <t>30609837</t>
  </si>
  <si>
    <t>30606447</t>
  </si>
  <si>
    <t>30620082</t>
  </si>
  <si>
    <t>30616213</t>
  </si>
  <si>
    <t>30624377</t>
  </si>
  <si>
    <t>30618537</t>
  </si>
  <si>
    <t>30624372</t>
  </si>
  <si>
    <t>30577779</t>
  </si>
  <si>
    <t>30624380</t>
  </si>
  <si>
    <t>30620063</t>
  </si>
  <si>
    <t>30596484</t>
  </si>
  <si>
    <t>30608435</t>
  </si>
  <si>
    <t>30616187</t>
  </si>
  <si>
    <t>30624365</t>
  </si>
  <si>
    <t>04:01</t>
  </si>
  <si>
    <t>30620062</t>
  </si>
  <si>
    <t>30606281</t>
  </si>
  <si>
    <t>30622371</t>
  </si>
  <si>
    <t>30616214</t>
  </si>
  <si>
    <t>30622354</t>
  </si>
  <si>
    <t>30609844</t>
  </si>
  <si>
    <t>30624374</t>
  </si>
  <si>
    <t>30622363</t>
  </si>
  <si>
    <t>30618536</t>
  </si>
  <si>
    <t>30616203</t>
  </si>
  <si>
    <t>30602604</t>
  </si>
  <si>
    <t>30620070</t>
  </si>
  <si>
    <t>30624371</t>
  </si>
  <si>
    <t>30620058</t>
  </si>
  <si>
    <t>30620072</t>
  </si>
  <si>
    <t>30620083</t>
  </si>
  <si>
    <t>30622355</t>
  </si>
  <si>
    <t>30620079</t>
  </si>
  <si>
    <t>30624829</t>
  </si>
  <si>
    <t>30618532</t>
  </si>
  <si>
    <t>30608095</t>
  </si>
  <si>
    <t>30622358</t>
  </si>
  <si>
    <t>30622364</t>
  </si>
  <si>
    <t>30624373</t>
  </si>
  <si>
    <t>30622362</t>
  </si>
  <si>
    <t>30606449</t>
  </si>
  <si>
    <t>30620047</t>
  </si>
  <si>
    <t>30620049</t>
  </si>
  <si>
    <t>30622366</t>
  </si>
  <si>
    <t>30606269</t>
  </si>
  <si>
    <t>30620080</t>
  </si>
  <si>
    <t>2025-11-15</t>
  </si>
  <si>
    <t>30572998</t>
  </si>
  <si>
    <t>30622352</t>
  </si>
  <si>
    <t>30623182</t>
  </si>
  <si>
    <t>30606450</t>
  </si>
  <si>
    <t>30624376</t>
  </si>
  <si>
    <t>30620077</t>
  </si>
  <si>
    <t>30622810</t>
  </si>
  <si>
    <t>30620073</t>
  </si>
  <si>
    <t>2025-11-21</t>
  </si>
  <si>
    <t>30626829</t>
  </si>
  <si>
    <t>30611957</t>
  </si>
  <si>
    <t>30625087</t>
  </si>
  <si>
    <t>30598056</t>
  </si>
  <si>
    <t>30624384</t>
  </si>
  <si>
    <t>30624386</t>
  </si>
  <si>
    <t>30626828</t>
  </si>
  <si>
    <t>30622351</t>
  </si>
  <si>
    <t>INDP</t>
  </si>
  <si>
    <t>30547880</t>
  </si>
  <si>
    <t>CGEX</t>
  </si>
  <si>
    <t>30549818</t>
  </si>
  <si>
    <t>30549826</t>
  </si>
  <si>
    <t>CLIL</t>
  </si>
  <si>
    <t>30617549</t>
  </si>
  <si>
    <t>RYXV</t>
  </si>
  <si>
    <t>30618533</t>
  </si>
  <si>
    <t>RPLD</t>
  </si>
  <si>
    <t>30612947</t>
  </si>
  <si>
    <t>30625092</t>
  </si>
  <si>
    <t>30618860</t>
  </si>
  <si>
    <t>30626846</t>
  </si>
  <si>
    <t>30549816</t>
  </si>
  <si>
    <t>30606392</t>
  </si>
  <si>
    <t>30620050</t>
  </si>
  <si>
    <t>30626851</t>
  </si>
  <si>
    <t>30616209</t>
  </si>
  <si>
    <t>30598575</t>
  </si>
  <si>
    <t>30626849</t>
  </si>
  <si>
    <t>30626845</t>
  </si>
  <si>
    <t>30549822</t>
  </si>
  <si>
    <t>30549817</t>
  </si>
  <si>
    <t>30547881</t>
  </si>
  <si>
    <t>30604877</t>
  </si>
  <si>
    <t>30611952</t>
  </si>
  <si>
    <t>AAC1</t>
  </si>
  <si>
    <t>30617432</t>
  </si>
  <si>
    <t>30626850</t>
  </si>
  <si>
    <t>30600840</t>
  </si>
  <si>
    <t>30547878</t>
  </si>
  <si>
    <t>30605888</t>
  </si>
  <si>
    <t>FCNR</t>
  </si>
  <si>
    <t>30607990</t>
  </si>
  <si>
    <t>30626841</t>
  </si>
  <si>
    <t>30600837</t>
  </si>
  <si>
    <t>RPLR</t>
  </si>
  <si>
    <t>30608215</t>
  </si>
  <si>
    <t>30617589</t>
  </si>
  <si>
    <t>30626839</t>
  </si>
  <si>
    <t>30605885</t>
  </si>
  <si>
    <t>30623238</t>
  </si>
  <si>
    <t>30622347</t>
  </si>
  <si>
    <t>30623204</t>
  </si>
  <si>
    <t>30611949</t>
  </si>
  <si>
    <t>30608263</t>
  </si>
  <si>
    <t>30626840</t>
  </si>
  <si>
    <t>30625241</t>
  </si>
  <si>
    <t>30605889</t>
  </si>
  <si>
    <t>30594582</t>
  </si>
  <si>
    <t>30549819</t>
  </si>
  <si>
    <t>30610454</t>
  </si>
  <si>
    <t>30588777</t>
  </si>
  <si>
    <t>30606368</t>
  </si>
  <si>
    <t>30608265</t>
  </si>
  <si>
    <t>30618527</t>
  </si>
  <si>
    <t>30549825</t>
  </si>
  <si>
    <t>30593186</t>
  </si>
  <si>
    <t>30604868</t>
  </si>
  <si>
    <t>30611951</t>
  </si>
  <si>
    <t>30626844</t>
  </si>
  <si>
    <t>30618528</t>
  </si>
  <si>
    <t>30622858</t>
  </si>
  <si>
    <t>30626837</t>
  </si>
  <si>
    <t>SFNC</t>
  </si>
  <si>
    <t>30563623</t>
  </si>
  <si>
    <t>30626856</t>
  </si>
  <si>
    <t>30626838</t>
  </si>
  <si>
    <t>30605891</t>
  </si>
  <si>
    <t>30549821</t>
  </si>
  <si>
    <t>30625246</t>
  </si>
  <si>
    <t>30626836</t>
  </si>
  <si>
    <t>30610646</t>
  </si>
  <si>
    <t>30625250</t>
  </si>
  <si>
    <t>30616192</t>
  </si>
  <si>
    <t>30617468</t>
  </si>
  <si>
    <t>30547879</t>
  </si>
  <si>
    <t>CEFV</t>
  </si>
  <si>
    <t>30607429</t>
  </si>
  <si>
    <t>30617658</t>
  </si>
  <si>
    <t>NSLB</t>
  </si>
  <si>
    <t>30609831</t>
  </si>
  <si>
    <t>30612952</t>
  </si>
  <si>
    <t>30549823</t>
  </si>
  <si>
    <t>30626843</t>
  </si>
  <si>
    <t>30626834</t>
  </si>
  <si>
    <t>30611948</t>
  </si>
  <si>
    <t>30620039</t>
  </si>
  <si>
    <t>30622349</t>
  </si>
  <si>
    <t>HOLD</t>
  </si>
  <si>
    <t>30563615</t>
  </si>
  <si>
    <t>30606233</t>
  </si>
  <si>
    <t>30600838</t>
  </si>
  <si>
    <t>30624385</t>
  </si>
  <si>
    <t>30606074</t>
  </si>
  <si>
    <t>30600836</t>
  </si>
  <si>
    <t>30625249</t>
  </si>
  <si>
    <t>30610629</t>
  </si>
  <si>
    <t>30620537</t>
  </si>
  <si>
    <t>30623071</t>
  </si>
  <si>
    <t>30626842</t>
  </si>
  <si>
    <t>30549820</t>
  </si>
  <si>
    <t>30626847</t>
  </si>
  <si>
    <t>30549827</t>
  </si>
  <si>
    <t>30606100</t>
  </si>
  <si>
    <t>30622776</t>
  </si>
  <si>
    <t>30600839</t>
  </si>
  <si>
    <t>30549824</t>
  </si>
  <si>
    <t>30549828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</si>
</sst>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/d;@"/>
    <numFmt numFmtId="165" formatCode="hh:mm"/>
    <numFmt numFmtId="166" formatCode="hh:mm:ss;@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FF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2"/>
      <color rgb="FF0000FF"/>
      <name val="Calibri"/>
      <family val="2"/>
      <scheme val="minor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  <font>
      <sz val="11"/>
      <color rgb="FF0000FF"/>
      <name val="Arial"/>
      <family val="2"/>
    </font>
    <font>
      <u/>
      <sz val="11"/>
      <color theme="10"/>
      <name val="Calibri"/>
      <family val="2"/>
      <scheme val="minor"/>
    </font>
    <font>
      <i/>
      <sz val="11"/>
      <color theme="0"/>
      <name val="Calibri"/>
      <family val="2"/>
      <scheme val="minor"/>
    </font>
    <font>
      <b/>
      <sz val="11"/>
      <color rgb="FF0000FF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12" fillId="0" borderId="0" applyNumberFormat="0" applyFill="0" applyBorder="0" applyAlignment="0" applyProtection="0"/>
  </cellStyleXfs>
  <cellXfs count="54">
    <xf numFmtId="0" fontId="0" fillId="0" borderId="0" xfId="0"/>
    <xf numFmtId="0" fontId="1" fillId="0" borderId="2" xfId="0" applyFont="1" applyBorder="1" applyAlignment="1">
      <alignment horizontal="right"/>
    </xf>
    <xf numFmtId="0" fontId="2" fillId="0" borderId="3" xfId="0" applyFont="1" applyBorder="1" applyAlignment="1">
      <alignment horizontal="center"/>
    </xf>
    <xf numFmtId="0" fontId="5" fillId="0" borderId="0" xfId="0" applyFont="1" applyAlignment="1">
      <alignment horizontal="center"/>
    </xf>
    <xf numFmtId="14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16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165" fontId="1" fillId="0" borderId="0" xfId="0" applyNumberFormat="1" applyFont="1"/>
    <xf numFmtId="0" fontId="0" fillId="0" borderId="10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1" xfId="0" applyBorder="1" applyAlignment="1">
      <alignment horizontal="center"/>
    </xf>
    <xf numFmtId="0" fontId="1" fillId="0" borderId="8" xfId="0" applyFont="1" applyBorder="1"/>
    <xf numFmtId="0" fontId="6" fillId="3" borderId="8" xfId="0" applyFont="1" applyFill="1" applyBorder="1"/>
    <xf numFmtId="0" fontId="6" fillId="3" borderId="0" xfId="0" applyFont="1" applyFill="1" applyAlignment="1">
      <alignment horizontal="center"/>
    </xf>
    <xf numFmtId="0" fontId="0" fillId="0" borderId="0" xfId="0" applyAlignment="1">
      <alignment horizontal="right"/>
    </xf>
    <xf numFmtId="0" fontId="7" fillId="2" borderId="0" xfId="0" applyFont="1" applyFill="1" applyAlignment="1">
      <alignment horizontal="center" vertical="center"/>
    </xf>
    <xf numFmtId="0" fontId="8" fillId="0" borderId="0" xfId="0" applyFont="1" applyAlignment="1">
      <alignment horizontal="center"/>
    </xf>
    <xf numFmtId="0" fontId="8" fillId="0" borderId="0" xfId="0" applyFont="1"/>
    <xf numFmtId="0" fontId="9" fillId="0" borderId="0" xfId="0" applyFont="1"/>
    <xf numFmtId="0" fontId="10" fillId="0" borderId="0" xfId="0" applyFont="1" applyAlignment="1">
      <alignment horizontal="center"/>
    </xf>
    <xf numFmtId="0" fontId="11" fillId="0" borderId="0" xfId="0" applyFont="1"/>
    <xf numFmtId="0" fontId="11" fillId="0" borderId="0" xfId="0" applyFont="1" applyAlignment="1">
      <alignment horizontal="center"/>
    </xf>
    <xf numFmtId="166" fontId="11" fillId="0" borderId="0" xfId="0" applyNumberFormat="1" applyFont="1"/>
    <xf numFmtId="14" fontId="9" fillId="0" borderId="0" xfId="0" applyNumberFormat="1" applyFont="1"/>
    <xf numFmtId="166" fontId="9" fillId="0" borderId="0" xfId="0" applyNumberFormat="1" applyFont="1"/>
    <xf numFmtId="0" fontId="9" fillId="0" borderId="0" xfId="0" applyFont="1" applyAlignment="1">
      <alignment horizontal="center"/>
    </xf>
    <xf numFmtId="0" fontId="8" fillId="0" borderId="0" xfId="0" applyFont="1" applyAlignment="1">
      <alignment horizontal="centerContinuous"/>
    </xf>
    <xf numFmtId="0" fontId="9" fillId="0" borderId="0" xfId="0" applyFont="1" applyAlignment="1">
      <alignment horizontal="centerContinuous"/>
    </xf>
    <xf numFmtId="0" fontId="9" fillId="0" borderId="0" xfId="0" applyFont="1" applyAlignment="1">
      <alignment horizontal="right"/>
    </xf>
    <xf numFmtId="0" fontId="12" fillId="0" borderId="0" xfId="1"/>
    <xf numFmtId="165" fontId="1" fillId="0" borderId="0" xfId="0" quotePrefix="1" applyNumberFormat="1" applyFont="1" applyAlignment="1">
      <alignment horizontal="center"/>
    </xf>
    <xf numFmtId="165" fontId="1" fillId="0" borderId="9" xfId="0" quotePrefix="1" applyNumberFormat="1" applyFont="1" applyBorder="1" applyAlignment="1">
      <alignment horizontal="center"/>
    </xf>
    <xf numFmtId="0" fontId="4" fillId="0" borderId="0" xfId="0" applyFont="1" applyAlignment="1">
      <alignment horizontal="center"/>
    </xf>
    <xf numFmtId="0" fontId="1" fillId="0" borderId="1" xfId="0" applyFont="1" applyBorder="1" applyAlignment="1">
      <alignment horizontal="right"/>
    </xf>
    <xf numFmtId="49" fontId="9" fillId="0" borderId="0" xfId="0" applyNumberFormat="1" applyFont="1"/>
    <xf numFmtId="0" fontId="8" fillId="0" borderId="12" xfId="0" applyFont="1" applyBorder="1"/>
    <xf numFmtId="49" fontId="11" fillId="0" borderId="13" xfId="0" applyNumberFormat="1" applyFont="1" applyBorder="1"/>
    <xf numFmtId="0" fontId="11" fillId="0" borderId="13" xfId="0" applyFont="1" applyBorder="1"/>
    <xf numFmtId="49" fontId="11" fillId="0" borderId="14" xfId="0" applyNumberFormat="1" applyFont="1" applyBorder="1"/>
    <xf numFmtId="0" fontId="13" fillId="0" borderId="0" xfId="0" applyFont="1"/>
    <xf numFmtId="0" fontId="11" fillId="0" borderId="14" xfId="0" applyFont="1" applyBorder="1"/>
    <xf numFmtId="0" fontId="14" fillId="2" borderId="0" xfId="0" applyFont="1" applyFill="1" applyAlignment="1">
      <alignment horizontal="center"/>
    </xf>
    <xf numFmtId="0" fontId="0" fillId="4" borderId="0" xfId="0" applyFill="1"/>
    <xf numFmtId="0" fontId="1" fillId="4" borderId="0" xfId="0" applyFont="1" applyFill="1" applyAlignment="1">
      <alignment horizontal="left"/>
    </xf>
    <xf numFmtId="0" fontId="0" fillId="0" borderId="0" xfId="0" applyAlignment="1">
      <alignment horizontal="right" vertical="center" textRotation="90"/>
    </xf>
    <xf numFmtId="0" fontId="3" fillId="2" borderId="2" xfId="0" applyFont="1" applyFill="1" applyBorder="1" applyAlignment="1">
      <alignment horizontal="center"/>
    </xf>
    <xf numFmtId="0" fontId="11" fillId="2" borderId="0" xfId="0" applyFont="1" applyFill="1" applyAlignment="1">
      <alignment horizontal="center"/>
    </xf>
  </cellXfs>
  <cellStyles count="2">
    <cellStyle name="Hyperlink" xfId="1" builtinId="8"/>
    <cellStyle name="Normal" xfId="0" builtinId="0"/>
  </cellStyles>
  <dxfs count="3">
    <dxf>
      <font>
        <color auto="1"/>
      </font>
    </dxf>
    <dxf>
      <fill>
        <patternFill>
          <bgColor theme="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2.xml"/><Relationship Id="rId7" Type="http://schemas.openxmlformats.org/officeDocument/2006/relationships/calcChain" Target="calcChain.xml"/><Relationship Id="rId12" Type="http://schemas.microsoft.com/office/2006/relationships/vbaProject" Target="vbaProject.bin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4.xml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3363415"/>
        <c:axId val="103353695"/>
      </c:barChart>
      <c:catAx>
        <c:axId val="10336341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353695"/>
        <c:crosses val="autoZero"/>
        <c:auto val="1"/>
        <c:lblAlgn val="ctr"/>
        <c:lblOffset val="100"/>
        <c:noMultiLvlLbl val="0"/>
      </c:catAx>
      <c:valAx>
        <c:axId val="1033536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3634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50DB4A6-BA3F-4823-8ABB-0B923325CA76}">
  <sheetPr codeName="Chart1"/>
  <sheetViews>
    <sheetView zoomScale="60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7167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641B161-6131-A6EA-2D69-8684BD7682DF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161924</xdr:colOff>
      <xdr:row>3</xdr:row>
      <xdr:rowOff>76200</xdr:rowOff>
    </xdr:from>
    <xdr:to>
      <xdr:col>13</xdr:col>
      <xdr:colOff>342899</xdr:colOff>
      <xdr:row>6</xdr:row>
      <xdr:rowOff>123825</xdr:rowOff>
    </xdr:to>
    <xdr:sp macro="[0]!GetSchedule.GetSchedule" textlink="">
      <xdr:nvSpPr>
        <xdr:cNvPr id="3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524749" y="638175"/>
          <a:ext cx="1895475" cy="628650"/>
        </a:xfrm>
        <a:prstGeom prst="rect">
          <a:avLst/>
        </a:prstGeom>
        <a:solidFill>
          <a:srgbClr val="00206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600" b="1">
              <a:solidFill>
                <a:schemeClr val="lt1"/>
              </a:solidFill>
              <a:latin typeface="+mn-lt"/>
              <a:ea typeface="+mn-lt"/>
              <a:cs typeface="+mn-lt"/>
            </a:rPr>
            <a:t>Refresh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tabColor theme="9" tint="0.59999389629810485"/>
  </sheetPr>
  <dimension ref="A1:AV1249"/>
  <sheetViews>
    <sheetView showGridLines="0" tabSelected="1" topLeftCell="B1" zoomScale="86" zoomScaleNormal="100" workbookViewId="0">
      <selection activeCell="M17" sqref="M17"/>
    </sheetView>
  </sheetViews>
  <sheetFormatPr defaultRowHeight="15" x14ac:dyDescent="0.25"/>
  <cols>
    <col min="1" max="1" width="3.5703125" customWidth="1"/>
    <col min="3" max="9" width="12.5703125" customWidth="1"/>
    <col min="10" max="10" width="8.5703125" customWidth="1"/>
    <col min="11" max="11" width="12.5703125" customWidth="1"/>
    <col min="12" max="12" width="2.5703125" customWidth="1"/>
    <col min="13" max="13" width="10.5703125" customWidth="1"/>
    <col min="17" max="35" width="0" hidden="1" customWidth="1"/>
    <col min="36" max="36" width="16.85546875" hidden="1" customWidth="1"/>
    <col min="37" max="37" width="10.140625" style="5" bestFit="1" customWidth="1"/>
    <col min="38" max="40" width="10.5703125" customWidth="1"/>
    <col min="41" max="43" width="2.5703125" customWidth="1"/>
    <col min="44" max="44" width="10.5703125" style="5" customWidth="1"/>
    <col min="45" max="46" width="10.5703125" customWidth="1"/>
    <col min="47" max="47" width="9.5703125" bestFit="1" customWidth="1"/>
    <col min="48" max="48" width="17" customWidth="1"/>
    <col min="49" max="49" width="11.85546875" customWidth="1"/>
    <col min="50" max="55" width="10.85546875" bestFit="1" customWidth="1"/>
    <col min="56" max="56" width="7.42578125" customWidth="1"/>
    <col min="57" max="57" width="11.42578125" bestFit="1" customWidth="1"/>
  </cols>
  <sheetData>
    <row r="1" spans="1:48" ht="13.5" customHeight="1" thickBot="1" x14ac:dyDescent="0.3">
      <c r="AK1" t="s">
        <v>0</v>
      </c>
      <c r="AR1" s="39" t="s">
        <v>1</v>
      </c>
    </row>
    <row r="2" spans="1:48" ht="15.75" thickBot="1" x14ac:dyDescent="0.3">
      <c r="C2" s="40" t="s">
        <v>2</v>
      </c>
      <c r="D2" s="52" t="s">
        <v>171</v>
      </c>
      <c r="E2" s="52"/>
      <c r="F2" s="1" t="s">
        <v>4</v>
      </c>
      <c r="G2" s="52" t="s">
        <v>5</v>
      </c>
      <c r="H2" s="52"/>
      <c r="I2" s="2" t="s">
        <v>6</v>
      </c>
      <c r="AK2" s="3" t="s">
        <v>7</v>
      </c>
      <c r="AL2" s="3" t="s">
        <v>8</v>
      </c>
      <c r="AM2" s="3" t="s">
        <v>9</v>
      </c>
      <c r="AN2" s="3" t="s">
        <v>10</v>
      </c>
      <c r="AR2" s="3" t="s">
        <v>7</v>
      </c>
      <c r="AS2" s="3" t="s">
        <v>11</v>
      </c>
      <c r="AT2" s="3" t="s">
        <v>9</v>
      </c>
      <c r="AU2" s="3" t="s">
        <v>10</v>
      </c>
    </row>
    <row r="3" spans="1:48" x14ac:dyDescent="0.25">
      <c r="AK3" s="5" t="s">
        <v>143</v>
      </c>
      <c r="AL3" t="s">
        <v>202</v>
      </c>
      <c r="AM3" t="s">
        <v>14</v>
      </c>
      <c r="AN3" t="s">
        <v>203</v>
      </c>
      <c r="AO3" s="4"/>
      <c r="AP3" s="4"/>
      <c r="AQ3" s="4"/>
      <c r="AS3" s="4"/>
      <c r="AT3" s="4"/>
      <c r="AU3" s="4"/>
      <c r="AV3" s="4"/>
    </row>
    <row r="4" spans="1:48" x14ac:dyDescent="0.25">
      <c r="C4" s="5" t="str">
        <f ca="1">TEXT(C5,"dddd")</f>
        <v>Friday</v>
      </c>
      <c r="D4" s="5" t="str">
        <f t="shared" ref="D4:I4" ca="1" si="0">TEXT(D5,"dddd")</f>
        <v>Saturday</v>
      </c>
      <c r="E4" s="5" t="str">
        <f t="shared" ca="1" si="0"/>
        <v>Sunday</v>
      </c>
      <c r="F4" s="5" t="str">
        <f t="shared" ca="1" si="0"/>
        <v>Monday</v>
      </c>
      <c r="G4" s="5" t="str">
        <f t="shared" ca="1" si="0"/>
        <v>Tuesday</v>
      </c>
      <c r="H4" s="5" t="str">
        <f t="shared" ca="1" si="0"/>
        <v>Wednesday</v>
      </c>
      <c r="I4" s="5" t="str">
        <f t="shared" ca="1" si="0"/>
        <v>Thursday</v>
      </c>
      <c r="AK4" s="5" t="s">
        <v>325</v>
      </c>
      <c r="AL4" t="s">
        <v>326</v>
      </c>
      <c r="AM4" t="s">
        <v>29</v>
      </c>
      <c r="AN4" t="s">
        <v>316</v>
      </c>
      <c r="AO4" s="4"/>
      <c r="AP4" s="4"/>
      <c r="AQ4" s="4"/>
      <c r="AS4" s="4"/>
      <c r="AT4" s="4"/>
      <c r="AU4" s="4"/>
      <c r="AV4" s="4"/>
    </row>
    <row r="5" spans="1:48" ht="15.75" thickBot="1" x14ac:dyDescent="0.3">
      <c r="C5" s="7">
        <f ca="1">Lists!$S$7</f>
        <v>45975</v>
      </c>
      <c r="D5" s="7">
        <f ca="1">+C5+1</f>
        <v>45976</v>
      </c>
      <c r="E5" s="7">
        <f t="shared" ref="E5:I5" ca="1" si="1">+D5+1</f>
        <v>45977</v>
      </c>
      <c r="F5" s="7">
        <f t="shared" ca="1" si="1"/>
        <v>45978</v>
      </c>
      <c r="G5" s="7">
        <f t="shared" ca="1" si="1"/>
        <v>45979</v>
      </c>
      <c r="H5" s="7">
        <f t="shared" ca="1" si="1"/>
        <v>45980</v>
      </c>
      <c r="I5" s="7">
        <f t="shared" ca="1" si="1"/>
        <v>45981</v>
      </c>
      <c r="K5" s="8"/>
      <c r="AK5" s="5" t="s">
        <v>143</v>
      </c>
      <c r="AL5" t="s">
        <v>319</v>
      </c>
      <c r="AM5" t="s">
        <v>35</v>
      </c>
      <c r="AN5" t="s">
        <v>203</v>
      </c>
      <c r="AO5" s="4"/>
      <c r="AP5" s="4"/>
      <c r="AQ5" s="4"/>
      <c r="AS5" s="4"/>
      <c r="AT5" s="4"/>
      <c r="AU5" s="4"/>
      <c r="AV5" s="4"/>
    </row>
    <row r="6" spans="1:48" x14ac:dyDescent="0.25">
      <c r="A6" s="51" t="s">
        <v>15</v>
      </c>
      <c r="B6" s="37" t="s">
        <v>16</v>
      </c>
      <c r="C6" s="9">
        <f ca="1">COUNTIFS($AM:$AM,$B6,$AN:$AN,C$5)</f>
        <v>0</v>
      </c>
      <c r="D6" s="10">
        <f t="shared" ref="D6:I21" ca="1" si="2">COUNTIFS($AM:$AM,$B6,$AN:$AN,D$5)</f>
        <v>0</v>
      </c>
      <c r="E6" s="10">
        <f t="shared" ca="1" si="2"/>
        <v>0</v>
      </c>
      <c r="F6" s="10">
        <f t="shared" ca="1" si="2"/>
        <v>1</v>
      </c>
      <c r="G6" s="10">
        <f t="shared" ca="1" si="2"/>
        <v>1</v>
      </c>
      <c r="H6" s="10">
        <f t="shared" ca="1" si="2"/>
        <v>0</v>
      </c>
      <c r="I6" s="11">
        <f t="shared" ca="1" si="2"/>
        <v>5</v>
      </c>
      <c r="AK6" s="5" t="s">
        <v>143</v>
      </c>
      <c r="AL6" t="s">
        <v>230</v>
      </c>
      <c r="AM6" t="s">
        <v>23</v>
      </c>
      <c r="AN6" t="s">
        <v>203</v>
      </c>
      <c r="AO6" s="4"/>
      <c r="AP6" s="4"/>
      <c r="AQ6" s="4"/>
      <c r="AS6" s="4"/>
      <c r="AT6" s="4"/>
      <c r="AV6" s="4"/>
    </row>
    <row r="7" spans="1:48" x14ac:dyDescent="0.25">
      <c r="A7" s="51"/>
      <c r="B7" s="37" t="s">
        <v>18</v>
      </c>
      <c r="C7" s="12">
        <f t="shared" ref="C7:I22" ca="1" si="3">COUNTIFS($AM:$AM,$B7,$AN:$AN,C$5)</f>
        <v>0</v>
      </c>
      <c r="D7" s="5">
        <f t="shared" ca="1" si="2"/>
        <v>0</v>
      </c>
      <c r="E7" s="5">
        <f t="shared" ca="1" si="2"/>
        <v>0</v>
      </c>
      <c r="F7" s="5">
        <f t="shared" ca="1" si="2"/>
        <v>0</v>
      </c>
      <c r="G7" s="5">
        <f t="shared" ca="1" si="2"/>
        <v>1</v>
      </c>
      <c r="H7" s="5">
        <f t="shared" ca="1" si="2"/>
        <v>3</v>
      </c>
      <c r="I7" s="13">
        <f t="shared" ca="1" si="2"/>
        <v>0</v>
      </c>
      <c r="AK7" s="5" t="s">
        <v>327</v>
      </c>
      <c r="AL7" t="s">
        <v>328</v>
      </c>
      <c r="AM7" t="s">
        <v>20</v>
      </c>
      <c r="AN7" t="s">
        <v>200</v>
      </c>
      <c r="AO7" s="4"/>
      <c r="AP7" s="4"/>
      <c r="AQ7" s="4"/>
      <c r="AS7" s="4"/>
      <c r="AT7" s="4"/>
      <c r="AV7" s="4"/>
    </row>
    <row r="8" spans="1:48" x14ac:dyDescent="0.25">
      <c r="A8" s="51"/>
      <c r="B8" s="37" t="s">
        <v>12</v>
      </c>
      <c r="C8" s="12">
        <f t="shared" ca="1" si="3"/>
        <v>0</v>
      </c>
      <c r="D8" s="5">
        <f t="shared" ca="1" si="2"/>
        <v>0</v>
      </c>
      <c r="E8" s="5">
        <f t="shared" ca="1" si="2"/>
        <v>0</v>
      </c>
      <c r="F8" s="5">
        <f t="shared" ca="1" si="2"/>
        <v>3</v>
      </c>
      <c r="G8" s="5">
        <f t="shared" ca="1" si="2"/>
        <v>1</v>
      </c>
      <c r="H8" s="5">
        <f t="shared" ca="1" si="2"/>
        <v>0</v>
      </c>
      <c r="I8" s="13">
        <f t="shared" ca="1" si="2"/>
        <v>2</v>
      </c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  <c r="AA8" s="14"/>
      <c r="AB8" s="14"/>
      <c r="AC8" s="14"/>
      <c r="AD8" s="14"/>
      <c r="AE8" s="14"/>
      <c r="AF8" s="14"/>
      <c r="AG8" s="14"/>
      <c r="AH8" s="14"/>
      <c r="AI8" s="14"/>
      <c r="AK8" s="5" t="s">
        <v>143</v>
      </c>
      <c r="AL8" t="s">
        <v>222</v>
      </c>
      <c r="AM8" t="s">
        <v>13</v>
      </c>
      <c r="AN8" t="s">
        <v>198</v>
      </c>
      <c r="AO8" s="4"/>
      <c r="AP8" s="4"/>
      <c r="AQ8" s="4"/>
      <c r="AS8" s="4"/>
      <c r="AT8" s="4"/>
      <c r="AV8" s="4"/>
    </row>
    <row r="9" spans="1:48" x14ac:dyDescent="0.25">
      <c r="A9" s="51"/>
      <c r="B9" s="37" t="s">
        <v>13</v>
      </c>
      <c r="C9" s="12">
        <f t="shared" ca="1" si="3"/>
        <v>0</v>
      </c>
      <c r="D9" s="5">
        <f t="shared" ca="1" si="2"/>
        <v>0</v>
      </c>
      <c r="E9" s="5">
        <f t="shared" ca="1" si="2"/>
        <v>0</v>
      </c>
      <c r="F9" s="5">
        <f t="shared" ca="1" si="2"/>
        <v>2</v>
      </c>
      <c r="G9" s="5">
        <f t="shared" ca="1" si="2"/>
        <v>3</v>
      </c>
      <c r="H9" s="5">
        <f t="shared" ca="1" si="2"/>
        <v>4</v>
      </c>
      <c r="I9" s="13">
        <f t="shared" ca="1" si="2"/>
        <v>4</v>
      </c>
      <c r="AK9" s="5" t="s">
        <v>327</v>
      </c>
      <c r="AL9" t="s">
        <v>329</v>
      </c>
      <c r="AM9" t="s">
        <v>29</v>
      </c>
      <c r="AN9" t="s">
        <v>214</v>
      </c>
      <c r="AO9" s="4"/>
      <c r="AP9" s="4"/>
      <c r="AQ9" s="4"/>
      <c r="AS9" s="4"/>
      <c r="AT9" s="4"/>
      <c r="AV9" s="4"/>
    </row>
    <row r="10" spans="1:48" x14ac:dyDescent="0.25">
      <c r="A10" s="51"/>
      <c r="B10" s="37" t="s">
        <v>22</v>
      </c>
      <c r="C10" s="12">
        <f t="shared" ca="1" si="3"/>
        <v>0</v>
      </c>
      <c r="D10" s="5">
        <f t="shared" ca="1" si="2"/>
        <v>0</v>
      </c>
      <c r="E10" s="5">
        <f t="shared" ca="1" si="2"/>
        <v>0</v>
      </c>
      <c r="F10" s="5">
        <f t="shared" ca="1" si="2"/>
        <v>2</v>
      </c>
      <c r="G10" s="5">
        <f t="shared" ca="1" si="2"/>
        <v>4</v>
      </c>
      <c r="H10" s="5">
        <f t="shared" ca="1" si="2"/>
        <v>4</v>
      </c>
      <c r="I10" s="13">
        <f t="shared" ca="1" si="2"/>
        <v>4</v>
      </c>
      <c r="AK10" s="5" t="s">
        <v>143</v>
      </c>
      <c r="AL10" t="s">
        <v>199</v>
      </c>
      <c r="AM10" t="s">
        <v>29</v>
      </c>
      <c r="AN10" t="s">
        <v>200</v>
      </c>
      <c r="AO10" s="4"/>
      <c r="AP10" s="4"/>
      <c r="AQ10" s="4"/>
      <c r="AS10" s="4"/>
      <c r="AT10" s="4"/>
      <c r="AV10" s="4"/>
    </row>
    <row r="11" spans="1:48" x14ac:dyDescent="0.25">
      <c r="A11" s="51"/>
      <c r="B11" s="37" t="s">
        <v>23</v>
      </c>
      <c r="C11" s="12">
        <f t="shared" ca="1" si="3"/>
        <v>3</v>
      </c>
      <c r="D11" s="5">
        <f t="shared" ca="1" si="2"/>
        <v>0</v>
      </c>
      <c r="E11" s="5">
        <f t="shared" ca="1" si="2"/>
        <v>0</v>
      </c>
      <c r="F11" s="5">
        <f t="shared" ca="1" si="2"/>
        <v>0</v>
      </c>
      <c r="G11" s="5">
        <f t="shared" ca="1" si="2"/>
        <v>9</v>
      </c>
      <c r="H11" s="5">
        <f t="shared" ca="1" si="2"/>
        <v>8</v>
      </c>
      <c r="I11" s="13">
        <f t="shared" ca="1" si="2"/>
        <v>4</v>
      </c>
      <c r="AK11" s="5" t="s">
        <v>330</v>
      </c>
      <c r="AL11" t="s">
        <v>331</v>
      </c>
      <c r="AM11" t="s">
        <v>14</v>
      </c>
      <c r="AN11" t="s">
        <v>204</v>
      </c>
      <c r="AO11" s="4"/>
      <c r="AP11" s="4"/>
      <c r="AQ11" s="4"/>
      <c r="AS11" s="4"/>
      <c r="AT11" s="4"/>
      <c r="AV11" s="6"/>
    </row>
    <row r="12" spans="1:48" x14ac:dyDescent="0.25">
      <c r="A12" s="51"/>
      <c r="B12" s="37" t="s">
        <v>25</v>
      </c>
      <c r="C12" s="12">
        <f t="shared" ca="1" si="3"/>
        <v>4</v>
      </c>
      <c r="D12" s="5">
        <f t="shared" ca="1" si="2"/>
        <v>0</v>
      </c>
      <c r="E12" s="5">
        <f t="shared" ca="1" si="2"/>
        <v>0</v>
      </c>
      <c r="F12" s="5">
        <f t="shared" ca="1" si="2"/>
        <v>0</v>
      </c>
      <c r="G12" s="5">
        <f t="shared" ca="1" si="2"/>
        <v>5</v>
      </c>
      <c r="H12" s="5">
        <f t="shared" ca="1" si="2"/>
        <v>6</v>
      </c>
      <c r="I12" s="13">
        <f t="shared" ca="1" si="2"/>
        <v>5</v>
      </c>
      <c r="AK12" s="5" t="s">
        <v>143</v>
      </c>
      <c r="AL12" t="s">
        <v>205</v>
      </c>
      <c r="AM12" t="s">
        <v>25</v>
      </c>
      <c r="AN12" t="s">
        <v>203</v>
      </c>
      <c r="AO12" s="4"/>
      <c r="AP12" s="4"/>
      <c r="AQ12" s="4"/>
      <c r="AT12" s="4"/>
      <c r="AV12" s="6"/>
    </row>
    <row r="13" spans="1:48" x14ac:dyDescent="0.25">
      <c r="A13" s="51"/>
      <c r="B13" s="37" t="s">
        <v>27</v>
      </c>
      <c r="C13" s="12">
        <f t="shared" ca="1" si="3"/>
        <v>3</v>
      </c>
      <c r="D13" s="5">
        <f t="shared" ca="1" si="2"/>
        <v>0</v>
      </c>
      <c r="E13" s="5">
        <f t="shared" ca="1" si="2"/>
        <v>0</v>
      </c>
      <c r="F13" s="5">
        <f t="shared" ca="1" si="2"/>
        <v>1</v>
      </c>
      <c r="G13" s="5">
        <f t="shared" ca="1" si="2"/>
        <v>3</v>
      </c>
      <c r="H13" s="5">
        <f t="shared" ca="1" si="2"/>
        <v>6</v>
      </c>
      <c r="I13" s="13">
        <f t="shared" ca="1" si="2"/>
        <v>3</v>
      </c>
      <c r="AK13" s="5" t="s">
        <v>143</v>
      </c>
      <c r="AL13" t="s">
        <v>219</v>
      </c>
      <c r="AM13" s="4" t="s">
        <v>13</v>
      </c>
      <c r="AN13" s="4" t="s">
        <v>316</v>
      </c>
      <c r="AO13" s="4"/>
      <c r="AP13" s="4"/>
      <c r="AQ13" s="4"/>
      <c r="AT13" s="4"/>
      <c r="AV13" s="6"/>
    </row>
    <row r="14" spans="1:48" x14ac:dyDescent="0.25">
      <c r="A14" s="51"/>
      <c r="B14" s="37" t="s">
        <v>20</v>
      </c>
      <c r="C14" s="12">
        <f t="shared" ca="1" si="3"/>
        <v>1</v>
      </c>
      <c r="D14" s="5">
        <f t="shared" ca="1" si="2"/>
        <v>0</v>
      </c>
      <c r="E14" s="5">
        <f t="shared" ca="1" si="2"/>
        <v>0</v>
      </c>
      <c r="F14" s="5">
        <f t="shared" ca="1" si="2"/>
        <v>2</v>
      </c>
      <c r="G14" s="5">
        <f t="shared" ca="1" si="2"/>
        <v>2</v>
      </c>
      <c r="H14" s="5">
        <f t="shared" ca="1" si="2"/>
        <v>3</v>
      </c>
      <c r="I14" s="13">
        <f t="shared" ca="1" si="2"/>
        <v>0</v>
      </c>
      <c r="K14" s="8" t="s">
        <v>28</v>
      </c>
      <c r="AK14" s="5" t="s">
        <v>143</v>
      </c>
      <c r="AL14" t="s">
        <v>220</v>
      </c>
      <c r="AM14" t="s">
        <v>22</v>
      </c>
      <c r="AN14" t="s">
        <v>203</v>
      </c>
      <c r="AO14" s="4"/>
      <c r="AP14" s="4"/>
      <c r="AQ14" s="4"/>
      <c r="AT14" s="4"/>
      <c r="AV14" s="6"/>
    </row>
    <row r="15" spans="1:48" x14ac:dyDescent="0.25">
      <c r="A15" s="51"/>
      <c r="B15" s="37" t="s">
        <v>29</v>
      </c>
      <c r="C15" s="12">
        <f t="shared" ca="1" si="3"/>
        <v>3</v>
      </c>
      <c r="D15" s="5">
        <f t="shared" ca="1" si="2"/>
        <v>0</v>
      </c>
      <c r="E15" s="5">
        <f t="shared" ca="1" si="2"/>
        <v>0</v>
      </c>
      <c r="F15" s="5">
        <f t="shared" ca="1" si="2"/>
        <v>2</v>
      </c>
      <c r="G15" s="5">
        <f t="shared" ca="1" si="2"/>
        <v>3</v>
      </c>
      <c r="H15" s="5">
        <f t="shared" ca="1" si="2"/>
        <v>3</v>
      </c>
      <c r="I15" s="13">
        <f t="shared" ca="1" si="2"/>
        <v>3</v>
      </c>
      <c r="K15" s="48" t="s">
        <v>30</v>
      </c>
      <c r="AK15" s="5" t="s">
        <v>143</v>
      </c>
      <c r="AL15" t="s">
        <v>206</v>
      </c>
      <c r="AM15" t="s">
        <v>14</v>
      </c>
      <c r="AN15" t="s">
        <v>198</v>
      </c>
      <c r="AO15" s="4"/>
      <c r="AP15" s="4"/>
      <c r="AQ15" s="4"/>
      <c r="AT15" s="4"/>
      <c r="AV15" s="6"/>
    </row>
    <row r="16" spans="1:48" x14ac:dyDescent="0.25">
      <c r="A16" s="51"/>
      <c r="B16" s="37" t="s">
        <v>31</v>
      </c>
      <c r="C16" s="12">
        <f t="shared" ca="1" si="3"/>
        <v>0</v>
      </c>
      <c r="D16" s="5">
        <f t="shared" ca="1" si="2"/>
        <v>0</v>
      </c>
      <c r="E16" s="5">
        <f t="shared" ca="1" si="2"/>
        <v>0</v>
      </c>
      <c r="F16" s="5">
        <f t="shared" ca="1" si="2"/>
        <v>1</v>
      </c>
      <c r="G16" s="5">
        <f t="shared" ca="1" si="2"/>
        <v>3</v>
      </c>
      <c r="H16" s="5">
        <f t="shared" ca="1" si="2"/>
        <v>2</v>
      </c>
      <c r="I16" s="13">
        <f t="shared" ca="1" si="2"/>
        <v>1</v>
      </c>
      <c r="AK16" s="5" t="s">
        <v>143</v>
      </c>
      <c r="AL16" t="s">
        <v>318</v>
      </c>
      <c r="AM16" t="s">
        <v>23</v>
      </c>
      <c r="AN16" t="s">
        <v>203</v>
      </c>
      <c r="AO16" s="4"/>
      <c r="AP16" s="4"/>
      <c r="AQ16" s="4"/>
      <c r="AT16" s="4"/>
      <c r="AV16" s="6"/>
    </row>
    <row r="17" spans="1:48" x14ac:dyDescent="0.25">
      <c r="A17" s="51"/>
      <c r="B17" s="37" t="s">
        <v>32</v>
      </c>
      <c r="C17" s="12">
        <f t="shared" ca="1" si="3"/>
        <v>2</v>
      </c>
      <c r="D17" s="5">
        <f t="shared" ca="1" si="2"/>
        <v>0</v>
      </c>
      <c r="E17" s="5">
        <f t="shared" ca="1" si="2"/>
        <v>0</v>
      </c>
      <c r="F17" s="5">
        <f t="shared" ca="1" si="2"/>
        <v>2</v>
      </c>
      <c r="G17" s="5">
        <f t="shared" ca="1" si="2"/>
        <v>0</v>
      </c>
      <c r="H17" s="5">
        <f t="shared" ca="1" si="2"/>
        <v>0</v>
      </c>
      <c r="I17" s="13">
        <f t="shared" ca="1" si="2"/>
        <v>0</v>
      </c>
      <c r="K17" s="50" t="str">
        <f>IF(AND($D$2=Lists!$P$21,ProductType=Lists!$N$18),"^ Please change to PKG ONLY or ALL",IF(AND(ProductType&lt;&gt;Lists!$N$17,OR($D$2=Lists!$P$22,$D$2=Lists!$P$23,$D$2=Lists!$P$24)),"^ Please change to ALL to include the correct inbound loads",""))</f>
        <v/>
      </c>
      <c r="L17" s="49"/>
      <c r="M17" s="49"/>
      <c r="N17" s="49"/>
      <c r="O17" s="49"/>
      <c r="P17" s="49"/>
      <c r="AK17" s="5" t="s">
        <v>143</v>
      </c>
      <c r="AL17" t="s">
        <v>197</v>
      </c>
      <c r="AM17" t="s">
        <v>25</v>
      </c>
      <c r="AN17" t="s">
        <v>198</v>
      </c>
      <c r="AO17" s="4"/>
      <c r="AP17" s="4"/>
      <c r="AQ17" s="4"/>
      <c r="AT17" s="4"/>
      <c r="AV17" s="6"/>
    </row>
    <row r="18" spans="1:48" x14ac:dyDescent="0.25">
      <c r="A18" s="51"/>
      <c r="B18" s="37" t="s">
        <v>14</v>
      </c>
      <c r="C18" s="12">
        <f t="shared" ca="1" si="3"/>
        <v>4</v>
      </c>
      <c r="D18" s="5">
        <f t="shared" ca="1" si="2"/>
        <v>0</v>
      </c>
      <c r="E18" s="5">
        <f t="shared" ca="1" si="2"/>
        <v>0</v>
      </c>
      <c r="F18" s="5">
        <f t="shared" ca="1" si="2"/>
        <v>1</v>
      </c>
      <c r="G18" s="5">
        <f t="shared" ca="1" si="2"/>
        <v>1</v>
      </c>
      <c r="H18" s="5">
        <f t="shared" ca="1" si="2"/>
        <v>0</v>
      </c>
      <c r="I18" s="13">
        <f t="shared" ca="1" si="2"/>
        <v>4</v>
      </c>
      <c r="AK18" s="5" t="s">
        <v>143</v>
      </c>
      <c r="AL18" t="s">
        <v>317</v>
      </c>
      <c r="AM18" t="s">
        <v>25</v>
      </c>
      <c r="AN18" t="s">
        <v>203</v>
      </c>
      <c r="AO18" s="4"/>
      <c r="AP18" s="4"/>
      <c r="AQ18" s="4"/>
      <c r="AT18" s="4"/>
      <c r="AV18" s="6"/>
    </row>
    <row r="19" spans="1:48" x14ac:dyDescent="0.25">
      <c r="A19" s="51"/>
      <c r="B19" s="37" t="s">
        <v>33</v>
      </c>
      <c r="C19" s="12">
        <f t="shared" ca="1" si="3"/>
        <v>0</v>
      </c>
      <c r="D19" s="5">
        <f t="shared" ca="1" si="2"/>
        <v>0</v>
      </c>
      <c r="E19" s="5">
        <f t="shared" ca="1" si="2"/>
        <v>0</v>
      </c>
      <c r="F19" s="5">
        <f t="shared" ca="1" si="2"/>
        <v>1</v>
      </c>
      <c r="G19" s="5">
        <f t="shared" ca="1" si="2"/>
        <v>1</v>
      </c>
      <c r="H19" s="5">
        <f t="shared" ca="1" si="2"/>
        <v>0</v>
      </c>
      <c r="I19" s="13">
        <f t="shared" ca="1" si="2"/>
        <v>4</v>
      </c>
      <c r="AK19" s="5" t="s">
        <v>332</v>
      </c>
      <c r="AL19" t="s">
        <v>333</v>
      </c>
      <c r="AM19" t="s">
        <v>33</v>
      </c>
      <c r="AN19" t="s">
        <v>214</v>
      </c>
      <c r="AO19" s="4"/>
      <c r="AP19" s="4"/>
      <c r="AQ19" s="4"/>
      <c r="AT19" s="4"/>
      <c r="AV19" s="6"/>
    </row>
    <row r="20" spans="1:48" x14ac:dyDescent="0.25">
      <c r="A20" s="51"/>
      <c r="B20" s="37" t="s">
        <v>26</v>
      </c>
      <c r="C20" s="12">
        <f t="shared" ca="1" si="3"/>
        <v>0</v>
      </c>
      <c r="D20" s="5">
        <f t="shared" ca="1" si="2"/>
        <v>0</v>
      </c>
      <c r="E20" s="5">
        <f t="shared" ca="1" si="2"/>
        <v>0</v>
      </c>
      <c r="F20" s="5">
        <f t="shared" ca="1" si="2"/>
        <v>3</v>
      </c>
      <c r="G20" s="5">
        <f t="shared" ca="1" si="2"/>
        <v>1</v>
      </c>
      <c r="H20" s="5">
        <f t="shared" ca="1" si="2"/>
        <v>1</v>
      </c>
      <c r="I20" s="13">
        <f t="shared" ca="1" si="2"/>
        <v>1</v>
      </c>
      <c r="AK20" s="5" t="s">
        <v>143</v>
      </c>
      <c r="AL20" t="s">
        <v>201</v>
      </c>
      <c r="AM20" t="s">
        <v>14</v>
      </c>
      <c r="AN20" t="s">
        <v>316</v>
      </c>
      <c r="AO20" s="4"/>
      <c r="AP20" s="4"/>
      <c r="AQ20" s="4"/>
      <c r="AT20" s="4"/>
      <c r="AV20" s="6"/>
    </row>
    <row r="21" spans="1:48" x14ac:dyDescent="0.25">
      <c r="A21" s="51"/>
      <c r="B21" s="37" t="s">
        <v>24</v>
      </c>
      <c r="C21" s="12">
        <f t="shared" ca="1" si="3"/>
        <v>0</v>
      </c>
      <c r="D21" s="5">
        <f t="shared" ca="1" si="2"/>
        <v>1</v>
      </c>
      <c r="E21" s="5">
        <f t="shared" ca="1" si="2"/>
        <v>0</v>
      </c>
      <c r="F21" s="5">
        <f t="shared" ca="1" si="2"/>
        <v>4</v>
      </c>
      <c r="G21" s="5">
        <f t="shared" ca="1" si="2"/>
        <v>0</v>
      </c>
      <c r="H21" s="5">
        <f t="shared" ca="1" si="2"/>
        <v>0</v>
      </c>
      <c r="I21" s="13">
        <f t="shared" ca="1" si="2"/>
        <v>0</v>
      </c>
      <c r="AK21" s="5" t="s">
        <v>334</v>
      </c>
      <c r="AL21" t="s">
        <v>335</v>
      </c>
      <c r="AM21" t="s">
        <v>23</v>
      </c>
      <c r="AN21" t="s">
        <v>204</v>
      </c>
      <c r="AO21" s="4"/>
      <c r="AP21" s="4"/>
      <c r="AQ21" s="4"/>
      <c r="AT21" s="4"/>
      <c r="AV21" s="6"/>
    </row>
    <row r="22" spans="1:48" x14ac:dyDescent="0.25">
      <c r="A22" s="51"/>
      <c r="B22" s="37" t="s">
        <v>21</v>
      </c>
      <c r="C22" s="12">
        <f t="shared" ca="1" si="3"/>
        <v>2</v>
      </c>
      <c r="D22" s="5">
        <f t="shared" ca="1" si="3"/>
        <v>0</v>
      </c>
      <c r="E22" s="5">
        <f t="shared" ca="1" si="3"/>
        <v>0</v>
      </c>
      <c r="F22" s="5">
        <f t="shared" ca="1" si="3"/>
        <v>3</v>
      </c>
      <c r="G22" s="5">
        <f t="shared" ca="1" si="3"/>
        <v>0</v>
      </c>
      <c r="H22" s="5">
        <f t="shared" ca="1" si="3"/>
        <v>0</v>
      </c>
      <c r="I22" s="13">
        <f t="shared" ca="1" si="3"/>
        <v>0</v>
      </c>
      <c r="AK22" s="5" t="s">
        <v>143</v>
      </c>
      <c r="AL22" t="s">
        <v>211</v>
      </c>
      <c r="AM22" t="s">
        <v>22</v>
      </c>
      <c r="AN22" t="s">
        <v>200</v>
      </c>
      <c r="AO22" s="4"/>
      <c r="AP22" s="4"/>
      <c r="AQ22" s="4"/>
      <c r="AT22" s="4"/>
      <c r="AV22" s="6"/>
    </row>
    <row r="23" spans="1:48" x14ac:dyDescent="0.25">
      <c r="A23" s="51"/>
      <c r="B23" s="37" t="s">
        <v>34</v>
      </c>
      <c r="C23" s="12">
        <f t="shared" ref="C23:I29" ca="1" si="4">COUNTIFS($AM:$AM,$B23,$AN:$AN,C$5)</f>
        <v>0</v>
      </c>
      <c r="D23" s="5">
        <f t="shared" ca="1" si="4"/>
        <v>0</v>
      </c>
      <c r="E23" s="5">
        <f t="shared" ca="1" si="4"/>
        <v>0</v>
      </c>
      <c r="F23" s="5">
        <f t="shared" ca="1" si="4"/>
        <v>2</v>
      </c>
      <c r="G23" s="5">
        <f t="shared" ca="1" si="4"/>
        <v>1</v>
      </c>
      <c r="H23" s="5">
        <f t="shared" ca="1" si="4"/>
        <v>0</v>
      </c>
      <c r="I23" s="13">
        <f t="shared" ca="1" si="4"/>
        <v>0</v>
      </c>
      <c r="AK23" s="5" t="s">
        <v>143</v>
      </c>
      <c r="AL23" t="s">
        <v>320</v>
      </c>
      <c r="AM23" t="s">
        <v>27</v>
      </c>
      <c r="AN23" t="s">
        <v>203</v>
      </c>
      <c r="AO23" s="4"/>
      <c r="AP23" s="4"/>
      <c r="AQ23" s="4"/>
      <c r="AT23" s="4"/>
      <c r="AV23" s="6"/>
    </row>
    <row r="24" spans="1:48" x14ac:dyDescent="0.25">
      <c r="A24" s="51"/>
      <c r="B24" s="37" t="s">
        <v>35</v>
      </c>
      <c r="C24" s="12">
        <f t="shared" ca="1" si="4"/>
        <v>0</v>
      </c>
      <c r="D24" s="5">
        <f t="shared" ca="1" si="4"/>
        <v>0</v>
      </c>
      <c r="E24" s="5">
        <f t="shared" ca="1" si="4"/>
        <v>0</v>
      </c>
      <c r="F24" s="5">
        <f t="shared" ca="1" si="4"/>
        <v>2</v>
      </c>
      <c r="G24" s="5">
        <f t="shared" ca="1" si="4"/>
        <v>1</v>
      </c>
      <c r="H24" s="5">
        <f t="shared" ca="1" si="4"/>
        <v>0</v>
      </c>
      <c r="I24" s="13">
        <f t="shared" ca="1" si="4"/>
        <v>0</v>
      </c>
      <c r="AL24" t="s">
        <v>336</v>
      </c>
      <c r="AM24" t="s">
        <v>37</v>
      </c>
      <c r="AN24" t="s">
        <v>203</v>
      </c>
      <c r="AO24" s="4"/>
      <c r="AP24" s="4"/>
      <c r="AQ24" s="4"/>
      <c r="AT24" s="4"/>
      <c r="AV24" s="6"/>
    </row>
    <row r="25" spans="1:48" x14ac:dyDescent="0.25">
      <c r="A25" s="51"/>
      <c r="B25" s="37" t="s">
        <v>36</v>
      </c>
      <c r="C25" s="12">
        <f t="shared" ca="1" si="4"/>
        <v>0</v>
      </c>
      <c r="D25" s="5">
        <f t="shared" ca="1" si="4"/>
        <v>0</v>
      </c>
      <c r="E25" s="5">
        <f t="shared" ca="1" si="4"/>
        <v>0</v>
      </c>
      <c r="F25" s="5">
        <f t="shared" ca="1" si="4"/>
        <v>1</v>
      </c>
      <c r="G25" s="5">
        <f t="shared" ca="1" si="4"/>
        <v>1</v>
      </c>
      <c r="H25" s="5">
        <f t="shared" ca="1" si="4"/>
        <v>0</v>
      </c>
      <c r="I25" s="13">
        <f t="shared" ca="1" si="4"/>
        <v>0</v>
      </c>
      <c r="AL25" t="s">
        <v>337</v>
      </c>
      <c r="AM25" t="s">
        <v>32</v>
      </c>
      <c r="AN25" t="s">
        <v>214</v>
      </c>
      <c r="AO25" s="4"/>
      <c r="AP25" s="4"/>
      <c r="AQ25" s="4"/>
      <c r="AT25" s="4"/>
      <c r="AV25" s="6"/>
    </row>
    <row r="26" spans="1:48" x14ac:dyDescent="0.25">
      <c r="A26" s="51"/>
      <c r="B26" s="37" t="s">
        <v>19</v>
      </c>
      <c r="C26" s="12">
        <f t="shared" ca="1" si="4"/>
        <v>0</v>
      </c>
      <c r="D26" s="5">
        <f t="shared" ca="1" si="4"/>
        <v>0</v>
      </c>
      <c r="E26" s="5">
        <f t="shared" ca="1" si="4"/>
        <v>0</v>
      </c>
      <c r="F26" s="5">
        <f t="shared" ca="1" si="4"/>
        <v>3</v>
      </c>
      <c r="G26" s="5">
        <f t="shared" ca="1" si="4"/>
        <v>0</v>
      </c>
      <c r="H26" s="5">
        <f t="shared" ca="1" si="4"/>
        <v>0</v>
      </c>
      <c r="I26" s="13">
        <f t="shared" ca="1" si="4"/>
        <v>1</v>
      </c>
      <c r="AL26" t="s">
        <v>338</v>
      </c>
      <c r="AM26" t="s">
        <v>20</v>
      </c>
      <c r="AN26" t="s">
        <v>316</v>
      </c>
      <c r="AO26" s="4"/>
      <c r="AP26" s="4"/>
      <c r="AQ26" s="4"/>
      <c r="AT26" s="4"/>
      <c r="AV26" s="6"/>
    </row>
    <row r="27" spans="1:48" x14ac:dyDescent="0.25">
      <c r="A27" s="51"/>
      <c r="B27" s="37" t="s">
        <v>38</v>
      </c>
      <c r="C27" s="12">
        <f t="shared" ca="1" si="4"/>
        <v>0</v>
      </c>
      <c r="D27" s="5">
        <f t="shared" ca="1" si="4"/>
        <v>0</v>
      </c>
      <c r="E27" s="5">
        <f t="shared" ca="1" si="4"/>
        <v>0</v>
      </c>
      <c r="F27" s="5">
        <f t="shared" ca="1" si="4"/>
        <v>1</v>
      </c>
      <c r="G27" s="5">
        <f t="shared" ca="1" si="4"/>
        <v>0</v>
      </c>
      <c r="H27" s="5">
        <f t="shared" ca="1" si="4"/>
        <v>0</v>
      </c>
      <c r="I27" s="13">
        <f t="shared" ca="1" si="4"/>
        <v>0</v>
      </c>
      <c r="AK27" s="5" t="s">
        <v>143</v>
      </c>
      <c r="AL27" t="s">
        <v>213</v>
      </c>
      <c r="AM27" t="s">
        <v>12</v>
      </c>
      <c r="AN27" t="s">
        <v>214</v>
      </c>
      <c r="AO27" s="4"/>
      <c r="AP27" s="4"/>
      <c r="AQ27" s="4"/>
      <c r="AT27" s="4"/>
      <c r="AV27" s="6"/>
    </row>
    <row r="28" spans="1:48" x14ac:dyDescent="0.25">
      <c r="A28" s="51"/>
      <c r="B28" s="37" t="s">
        <v>17</v>
      </c>
      <c r="C28" s="12">
        <f t="shared" ca="1" si="4"/>
        <v>0</v>
      </c>
      <c r="D28" s="5">
        <f t="shared" ca="1" si="4"/>
        <v>0</v>
      </c>
      <c r="E28" s="5">
        <f t="shared" ca="1" si="4"/>
        <v>0</v>
      </c>
      <c r="F28" s="5">
        <f t="shared" ca="1" si="4"/>
        <v>0</v>
      </c>
      <c r="G28" s="5">
        <f t="shared" ca="1" si="4"/>
        <v>0</v>
      </c>
      <c r="H28" s="5">
        <f t="shared" ca="1" si="4"/>
        <v>0</v>
      </c>
      <c r="I28" s="13">
        <f t="shared" ca="1" si="4"/>
        <v>0</v>
      </c>
      <c r="AK28" s="5" t="s">
        <v>215</v>
      </c>
      <c r="AL28" t="s">
        <v>216</v>
      </c>
      <c r="AM28" t="s">
        <v>19</v>
      </c>
      <c r="AN28" t="s">
        <v>214</v>
      </c>
      <c r="AO28" s="4"/>
      <c r="AP28" s="4"/>
      <c r="AQ28" s="4"/>
      <c r="AT28" s="4"/>
      <c r="AV28" s="6"/>
    </row>
    <row r="29" spans="1:48" ht="15.75" thickBot="1" x14ac:dyDescent="0.3">
      <c r="A29" s="51"/>
      <c r="B29" s="38" t="s">
        <v>37</v>
      </c>
      <c r="C29" s="15">
        <f t="shared" ca="1" si="4"/>
        <v>0</v>
      </c>
      <c r="D29" s="16">
        <f t="shared" ca="1" si="4"/>
        <v>0</v>
      </c>
      <c r="E29" s="16">
        <f t="shared" ca="1" si="4"/>
        <v>0</v>
      </c>
      <c r="F29" s="16">
        <f t="shared" ca="1" si="4"/>
        <v>0</v>
      </c>
      <c r="G29" s="16">
        <f t="shared" ca="1" si="4"/>
        <v>1</v>
      </c>
      <c r="H29" s="16">
        <f t="shared" ca="1" si="4"/>
        <v>2</v>
      </c>
      <c r="I29" s="17">
        <f t="shared" ca="1" si="4"/>
        <v>1</v>
      </c>
      <c r="AK29" s="5" t="s">
        <v>143</v>
      </c>
      <c r="AL29" t="s">
        <v>212</v>
      </c>
      <c r="AM29" t="s">
        <v>20</v>
      </c>
      <c r="AN29" t="s">
        <v>200</v>
      </c>
      <c r="AO29" s="4"/>
      <c r="AP29" s="4"/>
      <c r="AQ29" s="4"/>
      <c r="AT29" s="4"/>
      <c r="AV29" s="6"/>
    </row>
    <row r="30" spans="1:48" ht="15.75" thickTop="1" x14ac:dyDescent="0.25">
      <c r="B30" s="18" t="s">
        <v>39</v>
      </c>
      <c r="C30" s="8">
        <f>COUNTA($AS:$AS)-1</f>
        <v>0</v>
      </c>
      <c r="AK30" s="5" t="s">
        <v>143</v>
      </c>
      <c r="AL30" t="s">
        <v>217</v>
      </c>
      <c r="AM30" t="s">
        <v>14</v>
      </c>
      <c r="AN30" t="s">
        <v>198</v>
      </c>
      <c r="AO30" s="4"/>
      <c r="AP30" s="4"/>
      <c r="AQ30" s="4"/>
      <c r="AT30" s="4"/>
    </row>
    <row r="31" spans="1:48" ht="18.75" x14ac:dyDescent="0.3">
      <c r="B31" s="19" t="s">
        <v>40</v>
      </c>
      <c r="C31" s="20">
        <f ca="1">+C30+SUM(C6:C29)</f>
        <v>22</v>
      </c>
      <c r="D31" s="20">
        <f t="shared" ref="D31:I31" ca="1" si="5">SUM(D6:D29)</f>
        <v>1</v>
      </c>
      <c r="E31" s="20">
        <f t="shared" ca="1" si="5"/>
        <v>0</v>
      </c>
      <c r="F31" s="20">
        <f t="shared" ca="1" si="5"/>
        <v>37</v>
      </c>
      <c r="G31" s="20">
        <f t="shared" ca="1" si="5"/>
        <v>42</v>
      </c>
      <c r="H31" s="20">
        <f t="shared" ca="1" si="5"/>
        <v>42</v>
      </c>
      <c r="I31" s="20">
        <f t="shared" ca="1" si="5"/>
        <v>42</v>
      </c>
      <c r="J31" s="21" t="s">
        <v>41</v>
      </c>
      <c r="K31" s="22">
        <v>120</v>
      </c>
      <c r="AK31" s="5" t="s">
        <v>327</v>
      </c>
      <c r="AL31" t="s">
        <v>339</v>
      </c>
      <c r="AM31" t="s">
        <v>31</v>
      </c>
      <c r="AN31" t="s">
        <v>200</v>
      </c>
      <c r="AO31" s="4"/>
      <c r="AP31" s="4"/>
      <c r="AQ31" s="4"/>
      <c r="AT31" s="4"/>
    </row>
    <row r="32" spans="1:48" x14ac:dyDescent="0.25">
      <c r="AK32" s="5" t="s">
        <v>143</v>
      </c>
      <c r="AL32" t="s">
        <v>218</v>
      </c>
      <c r="AM32" t="s">
        <v>22</v>
      </c>
      <c r="AN32" t="s">
        <v>198</v>
      </c>
      <c r="AO32" s="4"/>
      <c r="AP32" s="4"/>
      <c r="AQ32" s="4"/>
      <c r="AT32" s="4"/>
    </row>
    <row r="33" spans="3:46" x14ac:dyDescent="0.25">
      <c r="C33" s="46" t="s">
        <v>42</v>
      </c>
      <c r="AK33" s="5" t="s">
        <v>143</v>
      </c>
      <c r="AL33" t="s">
        <v>221</v>
      </c>
      <c r="AM33" t="s">
        <v>14</v>
      </c>
      <c r="AN33" t="s">
        <v>214</v>
      </c>
      <c r="AO33" s="4"/>
      <c r="AP33" s="4"/>
      <c r="AQ33" s="4"/>
      <c r="AT33" s="4"/>
    </row>
    <row r="34" spans="3:46" x14ac:dyDescent="0.25">
      <c r="AK34" s="5" t="s">
        <v>143</v>
      </c>
      <c r="AL34" t="s">
        <v>229</v>
      </c>
      <c r="AM34" t="s">
        <v>23</v>
      </c>
      <c r="AN34" t="s">
        <v>200</v>
      </c>
      <c r="AO34" s="4"/>
      <c r="AP34" s="4"/>
      <c r="AQ34" s="4"/>
      <c r="AT34" s="4"/>
    </row>
    <row r="35" spans="3:46" x14ac:dyDescent="0.25">
      <c r="AK35" s="5" t="s">
        <v>334</v>
      </c>
      <c r="AL35" t="s">
        <v>340</v>
      </c>
      <c r="AM35" t="s">
        <v>14</v>
      </c>
      <c r="AN35" t="s">
        <v>204</v>
      </c>
      <c r="AO35" s="4"/>
      <c r="AP35" s="4"/>
      <c r="AQ35" s="4"/>
      <c r="AT35" s="4"/>
    </row>
    <row r="36" spans="3:46" x14ac:dyDescent="0.25">
      <c r="AL36" t="s">
        <v>341</v>
      </c>
      <c r="AM36" t="s">
        <v>23</v>
      </c>
      <c r="AN36" t="s">
        <v>203</v>
      </c>
      <c r="AO36" s="4"/>
      <c r="AP36" s="4"/>
      <c r="AQ36" s="4"/>
      <c r="AT36" s="4"/>
    </row>
    <row r="37" spans="3:46" x14ac:dyDescent="0.25">
      <c r="AL37" t="s">
        <v>342</v>
      </c>
      <c r="AM37" t="s">
        <v>32</v>
      </c>
      <c r="AN37" t="s">
        <v>316</v>
      </c>
      <c r="AO37" s="4"/>
      <c r="AP37" s="4"/>
      <c r="AQ37" s="4"/>
      <c r="AT37" s="4"/>
    </row>
    <row r="38" spans="3:46" x14ac:dyDescent="0.25">
      <c r="AL38" t="s">
        <v>343</v>
      </c>
      <c r="AM38" t="s">
        <v>22</v>
      </c>
      <c r="AN38" t="s">
        <v>200</v>
      </c>
      <c r="AO38" s="4"/>
      <c r="AP38" s="4"/>
      <c r="AQ38" s="4"/>
      <c r="AT38" s="4"/>
    </row>
    <row r="39" spans="3:46" x14ac:dyDescent="0.25">
      <c r="AK39" s="5" t="s">
        <v>143</v>
      </c>
      <c r="AL39" t="s">
        <v>224</v>
      </c>
      <c r="AM39" s="4" t="s">
        <v>31</v>
      </c>
      <c r="AN39" s="4" t="s">
        <v>203</v>
      </c>
      <c r="AO39" s="4"/>
      <c r="AP39" s="4"/>
      <c r="AQ39" s="4"/>
    </row>
    <row r="40" spans="3:46" x14ac:dyDescent="0.25">
      <c r="AK40" s="5" t="s">
        <v>143</v>
      </c>
      <c r="AL40" t="s">
        <v>225</v>
      </c>
      <c r="AM40" s="4" t="s">
        <v>23</v>
      </c>
      <c r="AN40" s="4" t="s">
        <v>200</v>
      </c>
      <c r="AO40" s="4"/>
      <c r="AP40" s="4"/>
      <c r="AQ40" s="4"/>
    </row>
    <row r="41" spans="3:46" x14ac:dyDescent="0.25">
      <c r="AK41" s="5" t="s">
        <v>143</v>
      </c>
      <c r="AL41" t="s">
        <v>238</v>
      </c>
      <c r="AM41" s="4" t="s">
        <v>29</v>
      </c>
      <c r="AN41" s="4" t="s">
        <v>203</v>
      </c>
      <c r="AO41" s="4"/>
      <c r="AP41" s="4"/>
      <c r="AQ41" s="4"/>
    </row>
    <row r="42" spans="3:46" x14ac:dyDescent="0.25">
      <c r="AK42" s="5" t="s">
        <v>334</v>
      </c>
      <c r="AL42" t="s">
        <v>344</v>
      </c>
      <c r="AM42" t="s">
        <v>35</v>
      </c>
      <c r="AN42" t="s">
        <v>214</v>
      </c>
      <c r="AO42" s="4"/>
      <c r="AP42" s="4"/>
      <c r="AQ42" s="4"/>
    </row>
    <row r="43" spans="3:46" x14ac:dyDescent="0.25">
      <c r="AL43" t="s">
        <v>345</v>
      </c>
      <c r="AM43" t="s">
        <v>31</v>
      </c>
      <c r="AN43" t="s">
        <v>316</v>
      </c>
      <c r="AO43" s="4"/>
      <c r="AP43" s="4"/>
      <c r="AQ43" s="4"/>
    </row>
    <row r="44" spans="3:46" x14ac:dyDescent="0.25">
      <c r="AL44" t="s">
        <v>346</v>
      </c>
      <c r="AM44" t="s">
        <v>25</v>
      </c>
      <c r="AN44" t="s">
        <v>316</v>
      </c>
      <c r="AO44" s="4"/>
      <c r="AP44" s="4"/>
      <c r="AQ44" s="4"/>
    </row>
    <row r="45" spans="3:46" x14ac:dyDescent="0.25">
      <c r="AK45" s="5" t="s">
        <v>143</v>
      </c>
      <c r="AL45" t="s">
        <v>207</v>
      </c>
      <c r="AM45" t="s">
        <v>31</v>
      </c>
      <c r="AN45" t="s">
        <v>198</v>
      </c>
      <c r="AO45" s="4"/>
      <c r="AP45" s="4"/>
      <c r="AQ45" s="4"/>
    </row>
    <row r="46" spans="3:46" x14ac:dyDescent="0.25">
      <c r="AK46" s="5" t="s">
        <v>143</v>
      </c>
      <c r="AL46" t="s">
        <v>208</v>
      </c>
      <c r="AM46" s="4" t="s">
        <v>26</v>
      </c>
      <c r="AN46" s="4" t="s">
        <v>200</v>
      </c>
      <c r="AO46" s="4"/>
      <c r="AP46" s="4"/>
      <c r="AQ46" s="4"/>
    </row>
    <row r="47" spans="3:46" x14ac:dyDescent="0.25">
      <c r="AK47" s="5" t="s">
        <v>143</v>
      </c>
      <c r="AL47" t="s">
        <v>231</v>
      </c>
      <c r="AM47" t="s">
        <v>22</v>
      </c>
      <c r="AN47" t="s">
        <v>198</v>
      </c>
      <c r="AO47" s="4"/>
      <c r="AP47" s="4"/>
      <c r="AQ47" s="4"/>
    </row>
    <row r="48" spans="3:46" x14ac:dyDescent="0.25">
      <c r="AK48" s="5" t="s">
        <v>327</v>
      </c>
      <c r="AL48" t="s">
        <v>347</v>
      </c>
      <c r="AM48" t="s">
        <v>20</v>
      </c>
      <c r="AN48" t="s">
        <v>203</v>
      </c>
      <c r="AO48" s="4"/>
      <c r="AP48" s="4"/>
      <c r="AQ48" s="4"/>
    </row>
    <row r="49" spans="37:43" x14ac:dyDescent="0.25">
      <c r="AK49" s="5" t="s">
        <v>327</v>
      </c>
      <c r="AL49" t="s">
        <v>348</v>
      </c>
      <c r="AM49" t="s">
        <v>29</v>
      </c>
      <c r="AN49" t="s">
        <v>200</v>
      </c>
      <c r="AO49" s="4"/>
      <c r="AP49" s="4"/>
      <c r="AQ49" s="4"/>
    </row>
    <row r="50" spans="37:43" x14ac:dyDescent="0.25">
      <c r="AK50" s="5" t="s">
        <v>325</v>
      </c>
      <c r="AL50" t="s">
        <v>349</v>
      </c>
      <c r="AM50" t="s">
        <v>31</v>
      </c>
      <c r="AN50" t="s">
        <v>316</v>
      </c>
      <c r="AO50" s="4"/>
      <c r="AP50" s="4"/>
      <c r="AQ50" s="4"/>
    </row>
    <row r="51" spans="37:43" x14ac:dyDescent="0.25">
      <c r="AK51" s="5" t="s">
        <v>334</v>
      </c>
      <c r="AL51" t="s">
        <v>350</v>
      </c>
      <c r="AM51" t="s">
        <v>20</v>
      </c>
      <c r="AN51" t="s">
        <v>203</v>
      </c>
      <c r="AO51" s="4"/>
      <c r="AP51" s="4"/>
      <c r="AQ51" s="4"/>
    </row>
    <row r="52" spans="37:43" x14ac:dyDescent="0.25">
      <c r="AK52" s="5" t="s">
        <v>143</v>
      </c>
      <c r="AL52" t="s">
        <v>223</v>
      </c>
      <c r="AM52" t="s">
        <v>13</v>
      </c>
      <c r="AN52" t="s">
        <v>203</v>
      </c>
      <c r="AO52" s="4"/>
      <c r="AP52" s="4"/>
      <c r="AQ52" s="4"/>
    </row>
    <row r="53" spans="37:43" x14ac:dyDescent="0.25">
      <c r="AK53" s="5" t="s">
        <v>334</v>
      </c>
      <c r="AL53" t="s">
        <v>351</v>
      </c>
      <c r="AM53" t="s">
        <v>25</v>
      </c>
      <c r="AN53" t="s">
        <v>204</v>
      </c>
      <c r="AO53" s="4"/>
      <c r="AP53" s="4"/>
      <c r="AQ53" s="4"/>
    </row>
    <row r="54" spans="37:43" x14ac:dyDescent="0.25">
      <c r="AK54" s="5" t="s">
        <v>352</v>
      </c>
      <c r="AL54" t="s">
        <v>353</v>
      </c>
      <c r="AM54" t="s">
        <v>18</v>
      </c>
      <c r="AN54" t="s">
        <v>200</v>
      </c>
      <c r="AO54" s="4"/>
      <c r="AP54" s="4"/>
      <c r="AQ54" s="4"/>
    </row>
    <row r="55" spans="37:43" x14ac:dyDescent="0.25">
      <c r="AL55" t="s">
        <v>354</v>
      </c>
      <c r="AM55" t="s">
        <v>32</v>
      </c>
      <c r="AN55" t="s">
        <v>316</v>
      </c>
      <c r="AO55" s="4"/>
      <c r="AP55" s="4"/>
      <c r="AQ55" s="4"/>
    </row>
    <row r="56" spans="37:43" x14ac:dyDescent="0.25">
      <c r="AK56" s="5" t="s">
        <v>143</v>
      </c>
      <c r="AL56" t="s">
        <v>234</v>
      </c>
      <c r="AM56" t="s">
        <v>29</v>
      </c>
      <c r="AN56" t="s">
        <v>198</v>
      </c>
      <c r="AO56" s="4"/>
      <c r="AP56" s="4"/>
      <c r="AQ56" s="4"/>
    </row>
    <row r="57" spans="37:43" x14ac:dyDescent="0.25">
      <c r="AK57" s="5" t="s">
        <v>143</v>
      </c>
      <c r="AL57" t="s">
        <v>235</v>
      </c>
      <c r="AM57" t="s">
        <v>13</v>
      </c>
      <c r="AN57" t="s">
        <v>200</v>
      </c>
      <c r="AO57" s="4"/>
      <c r="AP57" s="4"/>
      <c r="AQ57" s="4"/>
    </row>
    <row r="58" spans="37:43" x14ac:dyDescent="0.25">
      <c r="AL58" t="s">
        <v>355</v>
      </c>
      <c r="AM58" s="4" t="s">
        <v>16</v>
      </c>
      <c r="AN58" s="4" t="s">
        <v>198</v>
      </c>
      <c r="AO58" s="4"/>
      <c r="AP58" s="4"/>
      <c r="AQ58" s="4"/>
    </row>
    <row r="59" spans="37:43" x14ac:dyDescent="0.25">
      <c r="AK59" s="5" t="s">
        <v>143</v>
      </c>
      <c r="AL59" t="s">
        <v>243</v>
      </c>
      <c r="AM59" s="4" t="s">
        <v>22</v>
      </c>
      <c r="AN59" s="4" t="s">
        <v>203</v>
      </c>
      <c r="AO59" s="4"/>
      <c r="AP59" s="4"/>
      <c r="AQ59" s="4"/>
    </row>
    <row r="60" spans="37:43" x14ac:dyDescent="0.25">
      <c r="AK60" s="5" t="s">
        <v>143</v>
      </c>
      <c r="AL60" t="s">
        <v>244</v>
      </c>
      <c r="AM60" t="s">
        <v>19</v>
      </c>
      <c r="AN60" t="s">
        <v>214</v>
      </c>
      <c r="AO60" s="4"/>
      <c r="AP60" s="4"/>
      <c r="AQ60" s="4"/>
    </row>
    <row r="61" spans="37:43" x14ac:dyDescent="0.25">
      <c r="AK61" s="5" t="s">
        <v>143</v>
      </c>
      <c r="AL61" t="s">
        <v>322</v>
      </c>
      <c r="AM61" t="s">
        <v>23</v>
      </c>
      <c r="AN61" t="s">
        <v>316</v>
      </c>
      <c r="AO61" s="4"/>
      <c r="AP61" s="4"/>
      <c r="AQ61" s="4"/>
    </row>
    <row r="62" spans="37:43" x14ac:dyDescent="0.25">
      <c r="AK62" s="5" t="s">
        <v>325</v>
      </c>
      <c r="AL62" t="s">
        <v>356</v>
      </c>
      <c r="AM62" s="4" t="s">
        <v>27</v>
      </c>
      <c r="AN62" s="4" t="s">
        <v>316</v>
      </c>
      <c r="AO62" s="4"/>
      <c r="AP62" s="4"/>
      <c r="AQ62" s="4"/>
    </row>
    <row r="63" spans="37:43" x14ac:dyDescent="0.25">
      <c r="AK63" s="5" t="s">
        <v>334</v>
      </c>
      <c r="AL63" t="s">
        <v>357</v>
      </c>
      <c r="AM63" t="s">
        <v>32</v>
      </c>
      <c r="AN63" t="s">
        <v>204</v>
      </c>
      <c r="AO63" s="4"/>
      <c r="AP63" s="4"/>
      <c r="AQ63" s="4"/>
    </row>
    <row r="64" spans="37:43" x14ac:dyDescent="0.25">
      <c r="AK64" s="5" t="s">
        <v>143</v>
      </c>
      <c r="AL64" t="s">
        <v>209</v>
      </c>
      <c r="AM64" t="s">
        <v>22</v>
      </c>
      <c r="AN64" t="s">
        <v>198</v>
      </c>
      <c r="AO64" s="4"/>
      <c r="AP64" s="4"/>
      <c r="AQ64" s="4"/>
    </row>
    <row r="65" spans="37:43" x14ac:dyDescent="0.25">
      <c r="AK65" s="5" t="s">
        <v>143</v>
      </c>
      <c r="AL65" t="s">
        <v>210</v>
      </c>
      <c r="AM65" t="s">
        <v>25</v>
      </c>
      <c r="AN65" t="s">
        <v>200</v>
      </c>
      <c r="AO65" s="4"/>
      <c r="AP65" s="4"/>
      <c r="AQ65" s="4"/>
    </row>
    <row r="66" spans="37:43" x14ac:dyDescent="0.25">
      <c r="AK66" s="5" t="s">
        <v>143</v>
      </c>
      <c r="AL66" t="s">
        <v>232</v>
      </c>
      <c r="AM66" t="s">
        <v>22</v>
      </c>
      <c r="AN66" t="s">
        <v>214</v>
      </c>
      <c r="AO66" s="4"/>
      <c r="AP66" s="4"/>
      <c r="AQ66" s="4"/>
    </row>
    <row r="67" spans="37:43" x14ac:dyDescent="0.25">
      <c r="AK67" s="5" t="s">
        <v>143</v>
      </c>
      <c r="AL67" t="s">
        <v>233</v>
      </c>
      <c r="AM67" s="4" t="s">
        <v>27</v>
      </c>
      <c r="AN67" s="4" t="s">
        <v>200</v>
      </c>
      <c r="AO67" s="4"/>
      <c r="AP67" s="4"/>
      <c r="AQ67" s="4"/>
    </row>
    <row r="68" spans="37:43" x14ac:dyDescent="0.25">
      <c r="AK68" s="5" t="s">
        <v>358</v>
      </c>
      <c r="AL68" t="s">
        <v>359</v>
      </c>
      <c r="AM68" s="4" t="s">
        <v>29</v>
      </c>
      <c r="AN68" s="4" t="s">
        <v>214</v>
      </c>
      <c r="AO68" s="4"/>
      <c r="AP68" s="4"/>
      <c r="AQ68" s="4"/>
    </row>
    <row r="69" spans="37:43" x14ac:dyDescent="0.25">
      <c r="AK69" s="5" t="s">
        <v>143</v>
      </c>
      <c r="AL69" t="s">
        <v>236</v>
      </c>
      <c r="AM69" t="s">
        <v>19</v>
      </c>
      <c r="AN69" t="s">
        <v>198</v>
      </c>
      <c r="AO69" s="4"/>
      <c r="AP69" s="4"/>
      <c r="AQ69" s="4"/>
    </row>
    <row r="70" spans="37:43" x14ac:dyDescent="0.25">
      <c r="AK70" s="5" t="s">
        <v>143</v>
      </c>
      <c r="AL70" t="s">
        <v>237</v>
      </c>
      <c r="AM70" s="4" t="s">
        <v>26</v>
      </c>
      <c r="AN70" s="4" t="s">
        <v>198</v>
      </c>
      <c r="AO70" s="4"/>
      <c r="AP70" s="4"/>
      <c r="AQ70" s="4"/>
    </row>
    <row r="71" spans="37:43" x14ac:dyDescent="0.25">
      <c r="AL71" t="s">
        <v>360</v>
      </c>
      <c r="AM71" t="s">
        <v>25</v>
      </c>
      <c r="AN71" t="s">
        <v>316</v>
      </c>
      <c r="AO71" s="4"/>
      <c r="AP71" s="4"/>
      <c r="AQ71" s="4"/>
    </row>
    <row r="72" spans="37:43" x14ac:dyDescent="0.25">
      <c r="AL72" t="s">
        <v>361</v>
      </c>
      <c r="AM72" t="s">
        <v>16</v>
      </c>
      <c r="AN72" t="s">
        <v>198</v>
      </c>
      <c r="AO72" s="4"/>
      <c r="AP72" s="4"/>
      <c r="AQ72" s="4"/>
    </row>
    <row r="73" spans="37:43" x14ac:dyDescent="0.25">
      <c r="AK73" s="5" t="s">
        <v>143</v>
      </c>
      <c r="AL73" t="s">
        <v>249</v>
      </c>
      <c r="AM73" t="s">
        <v>13</v>
      </c>
      <c r="AN73" t="s">
        <v>198</v>
      </c>
      <c r="AO73" s="4"/>
      <c r="AP73" s="4"/>
      <c r="AQ73" s="4"/>
    </row>
    <row r="74" spans="37:43" x14ac:dyDescent="0.25">
      <c r="AK74" s="5" t="s">
        <v>143</v>
      </c>
      <c r="AL74" t="s">
        <v>258</v>
      </c>
      <c r="AM74" t="s">
        <v>25</v>
      </c>
      <c r="AN74" t="s">
        <v>203</v>
      </c>
      <c r="AO74" s="4"/>
      <c r="AP74" s="4"/>
      <c r="AQ74" s="4"/>
    </row>
    <row r="75" spans="37:43" x14ac:dyDescent="0.25">
      <c r="AK75" s="5" t="s">
        <v>143</v>
      </c>
      <c r="AL75" t="s">
        <v>252</v>
      </c>
      <c r="AM75" s="4" t="s">
        <v>29</v>
      </c>
      <c r="AN75" s="4" t="s">
        <v>203</v>
      </c>
      <c r="AO75" s="4"/>
      <c r="AP75" s="4"/>
      <c r="AQ75" s="4"/>
    </row>
    <row r="76" spans="37:43" x14ac:dyDescent="0.25">
      <c r="AK76" s="5" t="s">
        <v>143</v>
      </c>
      <c r="AL76" t="s">
        <v>227</v>
      </c>
      <c r="AM76" t="s">
        <v>23</v>
      </c>
      <c r="AN76" t="s">
        <v>200</v>
      </c>
      <c r="AO76" s="4"/>
      <c r="AP76" s="4"/>
      <c r="AQ76" s="4"/>
    </row>
    <row r="77" spans="37:43" x14ac:dyDescent="0.25">
      <c r="AK77" s="5" t="s">
        <v>362</v>
      </c>
      <c r="AL77" t="s">
        <v>363</v>
      </c>
      <c r="AM77" t="s">
        <v>20</v>
      </c>
      <c r="AN77" t="s">
        <v>214</v>
      </c>
      <c r="AO77" s="4"/>
      <c r="AP77" s="4"/>
      <c r="AQ77" s="4"/>
    </row>
    <row r="78" spans="37:43" x14ac:dyDescent="0.25">
      <c r="AK78" s="5" t="s">
        <v>143</v>
      </c>
      <c r="AL78" t="s">
        <v>228</v>
      </c>
      <c r="AM78" t="s">
        <v>38</v>
      </c>
      <c r="AN78" t="s">
        <v>214</v>
      </c>
      <c r="AO78" s="4"/>
      <c r="AP78" s="4"/>
      <c r="AQ78" s="4"/>
    </row>
    <row r="79" spans="37:43" x14ac:dyDescent="0.25">
      <c r="AK79" s="5" t="s">
        <v>143</v>
      </c>
      <c r="AL79" t="s">
        <v>226</v>
      </c>
      <c r="AM79" t="s">
        <v>36</v>
      </c>
      <c r="AN79" t="s">
        <v>214</v>
      </c>
      <c r="AO79" s="4"/>
      <c r="AP79" s="4"/>
      <c r="AQ79" s="4"/>
    </row>
    <row r="80" spans="37:43" x14ac:dyDescent="0.25">
      <c r="AK80" s="5" t="s">
        <v>143</v>
      </c>
      <c r="AL80" t="s">
        <v>239</v>
      </c>
      <c r="AM80" t="s">
        <v>19</v>
      </c>
      <c r="AN80" t="s">
        <v>214</v>
      </c>
      <c r="AO80" s="4"/>
      <c r="AP80" s="4"/>
      <c r="AQ80" s="4"/>
    </row>
    <row r="81" spans="37:43" x14ac:dyDescent="0.25">
      <c r="AK81" s="5" t="s">
        <v>334</v>
      </c>
      <c r="AL81" t="s">
        <v>364</v>
      </c>
      <c r="AM81" t="s">
        <v>25</v>
      </c>
      <c r="AN81" t="s">
        <v>204</v>
      </c>
      <c r="AO81" s="4"/>
      <c r="AP81" s="4"/>
      <c r="AQ81" s="4"/>
    </row>
    <row r="82" spans="37:43" x14ac:dyDescent="0.25">
      <c r="AL82" t="s">
        <v>365</v>
      </c>
      <c r="AM82" t="s">
        <v>33</v>
      </c>
      <c r="AN82" t="s">
        <v>198</v>
      </c>
      <c r="AO82" s="4"/>
      <c r="AP82" s="4"/>
      <c r="AQ82" s="4"/>
    </row>
    <row r="83" spans="37:43" x14ac:dyDescent="0.25">
      <c r="AK83" s="5" t="s">
        <v>143</v>
      </c>
      <c r="AL83" t="s">
        <v>247</v>
      </c>
      <c r="AM83" t="s">
        <v>34</v>
      </c>
      <c r="AN83" t="s">
        <v>203</v>
      </c>
      <c r="AO83" s="4"/>
      <c r="AP83" s="4"/>
      <c r="AQ83" s="4"/>
    </row>
    <row r="84" spans="37:43" x14ac:dyDescent="0.25">
      <c r="AK84" s="5" t="s">
        <v>143</v>
      </c>
      <c r="AL84" t="s">
        <v>245</v>
      </c>
      <c r="AM84" t="s">
        <v>25</v>
      </c>
      <c r="AN84" t="s">
        <v>200</v>
      </c>
      <c r="AO84" s="4"/>
      <c r="AP84" s="4"/>
      <c r="AQ84" s="4"/>
    </row>
    <row r="85" spans="37:43" x14ac:dyDescent="0.25">
      <c r="AK85" s="5" t="s">
        <v>143</v>
      </c>
      <c r="AL85" t="s">
        <v>246</v>
      </c>
      <c r="AM85" t="s">
        <v>24</v>
      </c>
      <c r="AN85" t="s">
        <v>214</v>
      </c>
      <c r="AO85" s="4"/>
      <c r="AP85" s="4"/>
      <c r="AQ85" s="4"/>
    </row>
    <row r="86" spans="37:43" x14ac:dyDescent="0.25">
      <c r="AK86" s="5" t="s">
        <v>334</v>
      </c>
      <c r="AL86" t="s">
        <v>366</v>
      </c>
      <c r="AM86" t="s">
        <v>29</v>
      </c>
      <c r="AN86" t="s">
        <v>204</v>
      </c>
      <c r="AO86" s="4"/>
      <c r="AP86" s="4"/>
      <c r="AQ86" s="4"/>
    </row>
    <row r="87" spans="37:43" x14ac:dyDescent="0.25">
      <c r="AL87" t="s">
        <v>367</v>
      </c>
      <c r="AM87" t="s">
        <v>37</v>
      </c>
      <c r="AN87" t="s">
        <v>200</v>
      </c>
      <c r="AO87" s="4"/>
      <c r="AP87" s="4"/>
      <c r="AQ87" s="4"/>
    </row>
    <row r="88" spans="37:43" x14ac:dyDescent="0.25">
      <c r="AK88" s="5" t="s">
        <v>143</v>
      </c>
      <c r="AL88" t="s">
        <v>256</v>
      </c>
      <c r="AM88" t="s">
        <v>13</v>
      </c>
      <c r="AN88" t="s">
        <v>200</v>
      </c>
      <c r="AO88" s="4"/>
      <c r="AP88" s="4"/>
      <c r="AQ88" s="4"/>
    </row>
    <row r="89" spans="37:43" x14ac:dyDescent="0.25">
      <c r="AK89" s="5" t="s">
        <v>143</v>
      </c>
      <c r="AL89" t="s">
        <v>257</v>
      </c>
      <c r="AM89" t="s">
        <v>27</v>
      </c>
      <c r="AN89" t="s">
        <v>203</v>
      </c>
      <c r="AO89" s="4"/>
      <c r="AP89" s="4"/>
      <c r="AQ89" s="4"/>
    </row>
    <row r="90" spans="37:43" x14ac:dyDescent="0.25">
      <c r="AK90" s="5" t="s">
        <v>143</v>
      </c>
      <c r="AL90" t="s">
        <v>259</v>
      </c>
      <c r="AM90" t="s">
        <v>25</v>
      </c>
      <c r="AN90" t="s">
        <v>316</v>
      </c>
      <c r="AO90" s="4"/>
      <c r="AP90" s="4"/>
      <c r="AQ90" s="4"/>
    </row>
    <row r="91" spans="37:43" x14ac:dyDescent="0.25">
      <c r="AK91" s="5" t="s">
        <v>143</v>
      </c>
      <c r="AL91" t="s">
        <v>260</v>
      </c>
      <c r="AM91" t="s">
        <v>26</v>
      </c>
      <c r="AN91" t="s">
        <v>214</v>
      </c>
      <c r="AO91" s="4"/>
      <c r="AP91" s="4"/>
      <c r="AQ91" s="4"/>
    </row>
    <row r="92" spans="37:43" x14ac:dyDescent="0.25">
      <c r="AL92" t="s">
        <v>368</v>
      </c>
      <c r="AM92" t="s">
        <v>22</v>
      </c>
      <c r="AN92" t="s">
        <v>203</v>
      </c>
      <c r="AO92" s="4"/>
      <c r="AP92" s="4"/>
      <c r="AQ92" s="4"/>
    </row>
    <row r="93" spans="37:43" x14ac:dyDescent="0.25">
      <c r="AK93" s="5" t="s">
        <v>143</v>
      </c>
      <c r="AL93" t="s">
        <v>240</v>
      </c>
      <c r="AM93" t="s">
        <v>27</v>
      </c>
      <c r="AN93" t="s">
        <v>198</v>
      </c>
      <c r="AO93" s="4"/>
      <c r="AP93" s="4"/>
      <c r="AQ93" s="4"/>
    </row>
    <row r="94" spans="37:43" x14ac:dyDescent="0.25">
      <c r="AL94" t="s">
        <v>369</v>
      </c>
      <c r="AM94" t="s">
        <v>37</v>
      </c>
      <c r="AN94" t="s">
        <v>200</v>
      </c>
      <c r="AO94" s="4"/>
      <c r="AP94" s="4"/>
      <c r="AQ94" s="4"/>
    </row>
    <row r="95" spans="37:43" x14ac:dyDescent="0.25">
      <c r="AK95" s="5" t="s">
        <v>334</v>
      </c>
      <c r="AL95" t="s">
        <v>370</v>
      </c>
      <c r="AM95" t="s">
        <v>23</v>
      </c>
      <c r="AN95" t="s">
        <v>204</v>
      </c>
      <c r="AO95" s="4"/>
      <c r="AP95" s="4"/>
      <c r="AQ95" s="4"/>
    </row>
    <row r="96" spans="37:43" x14ac:dyDescent="0.25">
      <c r="AK96" s="5" t="s">
        <v>143</v>
      </c>
      <c r="AL96" t="s">
        <v>269</v>
      </c>
      <c r="AM96" t="s">
        <v>22</v>
      </c>
      <c r="AN96" t="s">
        <v>316</v>
      </c>
      <c r="AO96" s="4"/>
      <c r="AP96" s="4"/>
      <c r="AQ96" s="4"/>
    </row>
    <row r="97" spans="37:43" x14ac:dyDescent="0.25">
      <c r="AK97" s="5" t="s">
        <v>334</v>
      </c>
      <c r="AL97" t="s">
        <v>371</v>
      </c>
      <c r="AM97" t="s">
        <v>25</v>
      </c>
      <c r="AN97" t="s">
        <v>204</v>
      </c>
      <c r="AO97" s="4"/>
      <c r="AP97" s="4"/>
      <c r="AQ97" s="4"/>
    </row>
    <row r="98" spans="37:43" x14ac:dyDescent="0.25">
      <c r="AL98" t="s">
        <v>372</v>
      </c>
      <c r="AM98" t="s">
        <v>22</v>
      </c>
      <c r="AN98" t="s">
        <v>316</v>
      </c>
      <c r="AO98" s="4"/>
      <c r="AP98" s="4"/>
      <c r="AQ98" s="4"/>
    </row>
    <row r="99" spans="37:43" x14ac:dyDescent="0.25">
      <c r="AL99" t="s">
        <v>373</v>
      </c>
      <c r="AM99" t="s">
        <v>12</v>
      </c>
      <c r="AN99" t="s">
        <v>316</v>
      </c>
      <c r="AO99" s="4"/>
      <c r="AP99" s="4"/>
      <c r="AQ99" s="4"/>
    </row>
    <row r="100" spans="37:43" x14ac:dyDescent="0.25">
      <c r="AK100" s="5" t="s">
        <v>334</v>
      </c>
      <c r="AL100" t="s">
        <v>374</v>
      </c>
      <c r="AM100" t="s">
        <v>14</v>
      </c>
      <c r="AN100" t="s">
        <v>204</v>
      </c>
      <c r="AO100" s="4"/>
      <c r="AP100" s="4"/>
      <c r="AQ100" s="4"/>
    </row>
    <row r="101" spans="37:43" x14ac:dyDescent="0.25">
      <c r="AK101" s="5" t="s">
        <v>143</v>
      </c>
      <c r="AL101" t="s">
        <v>254</v>
      </c>
      <c r="AM101" t="s">
        <v>23</v>
      </c>
      <c r="AN101" t="s">
        <v>200</v>
      </c>
      <c r="AO101" s="4"/>
      <c r="AP101" s="4"/>
      <c r="AQ101" s="4"/>
    </row>
    <row r="102" spans="37:43" x14ac:dyDescent="0.25">
      <c r="AL102" t="s">
        <v>375</v>
      </c>
      <c r="AM102" t="s">
        <v>18</v>
      </c>
      <c r="AN102" t="s">
        <v>200</v>
      </c>
      <c r="AO102" s="4"/>
      <c r="AP102" s="4"/>
      <c r="AQ102" s="4"/>
    </row>
    <row r="103" spans="37:43" x14ac:dyDescent="0.25">
      <c r="AK103" s="5" t="s">
        <v>143</v>
      </c>
      <c r="AL103" t="s">
        <v>255</v>
      </c>
      <c r="AM103" s="4" t="s">
        <v>25</v>
      </c>
      <c r="AN103" s="4" t="s">
        <v>200</v>
      </c>
      <c r="AO103" s="4"/>
      <c r="AP103" s="4"/>
      <c r="AQ103" s="4"/>
    </row>
    <row r="104" spans="37:43" x14ac:dyDescent="0.25">
      <c r="AK104" s="5" t="s">
        <v>327</v>
      </c>
      <c r="AL104" t="s">
        <v>376</v>
      </c>
      <c r="AM104" s="4" t="s">
        <v>27</v>
      </c>
      <c r="AN104" s="4" t="s">
        <v>200</v>
      </c>
      <c r="AO104" s="4"/>
      <c r="AP104" s="4"/>
      <c r="AQ104" s="4"/>
    </row>
    <row r="105" spans="37:43" x14ac:dyDescent="0.25">
      <c r="AK105" s="5" t="s">
        <v>334</v>
      </c>
      <c r="AL105" t="s">
        <v>377</v>
      </c>
      <c r="AM105" t="s">
        <v>29</v>
      </c>
      <c r="AN105" t="s">
        <v>204</v>
      </c>
      <c r="AO105" s="4"/>
      <c r="AP105" s="4"/>
      <c r="AQ105" s="4"/>
    </row>
    <row r="106" spans="37:43" x14ac:dyDescent="0.25">
      <c r="AK106" s="5" t="s">
        <v>143</v>
      </c>
      <c r="AL106" t="s">
        <v>241</v>
      </c>
      <c r="AM106" t="s">
        <v>22</v>
      </c>
      <c r="AN106" t="s">
        <v>200</v>
      </c>
      <c r="AO106" s="4"/>
      <c r="AP106" s="4"/>
      <c r="AQ106" s="4"/>
    </row>
    <row r="107" spans="37:43" x14ac:dyDescent="0.25">
      <c r="AL107" t="s">
        <v>378</v>
      </c>
      <c r="AM107" t="s">
        <v>16</v>
      </c>
      <c r="AN107" t="s">
        <v>214</v>
      </c>
      <c r="AO107" s="4"/>
      <c r="AP107" s="4"/>
      <c r="AQ107" s="4"/>
    </row>
    <row r="108" spans="37:43" x14ac:dyDescent="0.25">
      <c r="AK108" s="5" t="s">
        <v>143</v>
      </c>
      <c r="AL108" t="s">
        <v>242</v>
      </c>
      <c r="AM108" t="s">
        <v>27</v>
      </c>
      <c r="AN108" t="s">
        <v>200</v>
      </c>
      <c r="AO108" s="4"/>
      <c r="AP108" s="4"/>
      <c r="AQ108" s="4"/>
    </row>
    <row r="109" spans="37:43" x14ac:dyDescent="0.25">
      <c r="AK109" s="5" t="s">
        <v>334</v>
      </c>
      <c r="AL109" t="s">
        <v>379</v>
      </c>
      <c r="AM109" t="s">
        <v>27</v>
      </c>
      <c r="AN109" t="s">
        <v>204</v>
      </c>
      <c r="AO109" s="4"/>
      <c r="AP109" s="4"/>
      <c r="AQ109" s="4"/>
    </row>
    <row r="110" spans="37:43" x14ac:dyDescent="0.25">
      <c r="AK110" s="5" t="s">
        <v>143</v>
      </c>
      <c r="AL110" t="s">
        <v>263</v>
      </c>
      <c r="AM110" t="s">
        <v>33</v>
      </c>
      <c r="AN110" t="s">
        <v>198</v>
      </c>
      <c r="AO110" s="4"/>
      <c r="AP110" s="4"/>
      <c r="AQ110" s="4"/>
    </row>
    <row r="111" spans="37:43" x14ac:dyDescent="0.25">
      <c r="AK111" s="5" t="s">
        <v>143</v>
      </c>
      <c r="AL111" t="s">
        <v>264</v>
      </c>
      <c r="AM111" t="s">
        <v>24</v>
      </c>
      <c r="AN111" t="s">
        <v>214</v>
      </c>
      <c r="AO111" s="4"/>
      <c r="AP111" s="4"/>
      <c r="AQ111" s="4"/>
    </row>
    <row r="112" spans="37:43" x14ac:dyDescent="0.25">
      <c r="AK112" s="5" t="s">
        <v>143</v>
      </c>
      <c r="AL112" t="s">
        <v>251</v>
      </c>
      <c r="AM112" t="s">
        <v>13</v>
      </c>
      <c r="AN112" t="s">
        <v>198</v>
      </c>
      <c r="AO112" s="4"/>
      <c r="AP112" s="4"/>
      <c r="AQ112" s="4"/>
    </row>
    <row r="113" spans="37:43" x14ac:dyDescent="0.25">
      <c r="AK113" s="5" t="s">
        <v>334</v>
      </c>
      <c r="AL113" t="s">
        <v>380</v>
      </c>
      <c r="AM113" t="s">
        <v>27</v>
      </c>
      <c r="AN113" t="s">
        <v>204</v>
      </c>
      <c r="AO113" s="4"/>
      <c r="AP113" s="4"/>
      <c r="AQ113" s="4"/>
    </row>
    <row r="114" spans="37:43" x14ac:dyDescent="0.25">
      <c r="AK114" s="5" t="s">
        <v>143</v>
      </c>
      <c r="AL114" t="s">
        <v>253</v>
      </c>
      <c r="AM114" t="s">
        <v>14</v>
      </c>
      <c r="AN114" t="s">
        <v>198</v>
      </c>
      <c r="AO114" s="4"/>
      <c r="AP114" s="4"/>
      <c r="AQ114" s="4"/>
    </row>
    <row r="115" spans="37:43" x14ac:dyDescent="0.25">
      <c r="AK115" s="5" t="s">
        <v>334</v>
      </c>
      <c r="AL115" t="s">
        <v>381</v>
      </c>
      <c r="AM115" t="s">
        <v>31</v>
      </c>
      <c r="AN115" t="s">
        <v>203</v>
      </c>
      <c r="AO115" s="4"/>
      <c r="AP115" s="4"/>
      <c r="AQ115" s="4"/>
    </row>
    <row r="116" spans="37:43" x14ac:dyDescent="0.25">
      <c r="AK116" s="5" t="s">
        <v>143</v>
      </c>
      <c r="AL116" t="s">
        <v>323</v>
      </c>
      <c r="AM116" s="4" t="s">
        <v>25</v>
      </c>
      <c r="AN116" s="4" t="s">
        <v>203</v>
      </c>
      <c r="AO116" s="4"/>
      <c r="AP116" s="4"/>
      <c r="AQ116" s="4"/>
    </row>
    <row r="117" spans="37:43" x14ac:dyDescent="0.25">
      <c r="AK117" s="5" t="s">
        <v>143</v>
      </c>
      <c r="AL117" t="s">
        <v>274</v>
      </c>
      <c r="AM117" t="s">
        <v>27</v>
      </c>
      <c r="AN117" t="s">
        <v>198</v>
      </c>
      <c r="AO117" s="4"/>
      <c r="AP117" s="4"/>
      <c r="AQ117" s="4"/>
    </row>
    <row r="118" spans="37:43" x14ac:dyDescent="0.25">
      <c r="AK118" s="5" t="s">
        <v>327</v>
      </c>
      <c r="AL118" t="s">
        <v>382</v>
      </c>
      <c r="AM118" t="s">
        <v>31</v>
      </c>
      <c r="AN118" t="s">
        <v>214</v>
      </c>
      <c r="AO118" s="4"/>
      <c r="AP118" s="4"/>
      <c r="AQ118" s="4"/>
    </row>
    <row r="119" spans="37:43" x14ac:dyDescent="0.25">
      <c r="AK119" s="5" t="s">
        <v>143</v>
      </c>
      <c r="AL119" t="s">
        <v>280</v>
      </c>
      <c r="AM119" t="s">
        <v>13</v>
      </c>
      <c r="AN119" t="s">
        <v>316</v>
      </c>
      <c r="AO119" s="4"/>
      <c r="AP119" s="4"/>
      <c r="AQ119" s="4"/>
    </row>
    <row r="120" spans="37:43" x14ac:dyDescent="0.25">
      <c r="AK120" s="5" t="s">
        <v>334</v>
      </c>
      <c r="AL120" t="s">
        <v>383</v>
      </c>
      <c r="AM120" t="s">
        <v>34</v>
      </c>
      <c r="AN120" t="s">
        <v>214</v>
      </c>
      <c r="AO120" s="4"/>
      <c r="AP120" s="4"/>
      <c r="AQ120" s="4"/>
    </row>
    <row r="121" spans="37:43" x14ac:dyDescent="0.25">
      <c r="AK121" s="5" t="s">
        <v>334</v>
      </c>
      <c r="AL121" t="s">
        <v>384</v>
      </c>
      <c r="AM121" t="s">
        <v>35</v>
      </c>
      <c r="AN121" t="s">
        <v>214</v>
      </c>
      <c r="AO121" s="4"/>
      <c r="AP121" s="4"/>
      <c r="AQ121" s="4"/>
    </row>
    <row r="122" spans="37:43" x14ac:dyDescent="0.25">
      <c r="AK122" s="5" t="s">
        <v>334</v>
      </c>
      <c r="AL122" t="s">
        <v>385</v>
      </c>
      <c r="AM122" t="s">
        <v>25</v>
      </c>
      <c r="AN122" t="s">
        <v>204</v>
      </c>
      <c r="AO122" s="4"/>
      <c r="AP122" s="4"/>
      <c r="AQ122" s="4"/>
    </row>
    <row r="123" spans="37:43" x14ac:dyDescent="0.25">
      <c r="AL123" t="s">
        <v>386</v>
      </c>
      <c r="AM123" t="s">
        <v>12</v>
      </c>
      <c r="AN123" t="s">
        <v>316</v>
      </c>
      <c r="AO123" s="4"/>
      <c r="AP123" s="4"/>
      <c r="AQ123" s="4"/>
    </row>
    <row r="124" spans="37:43" x14ac:dyDescent="0.25">
      <c r="AK124" s="5" t="s">
        <v>143</v>
      </c>
      <c r="AL124" t="s">
        <v>301</v>
      </c>
      <c r="AM124" t="s">
        <v>23</v>
      </c>
      <c r="AN124" t="s">
        <v>203</v>
      </c>
      <c r="AO124" s="4"/>
      <c r="AP124" s="4"/>
      <c r="AQ124" s="4"/>
    </row>
    <row r="125" spans="37:43" x14ac:dyDescent="0.25">
      <c r="AK125" s="5" t="s">
        <v>143</v>
      </c>
      <c r="AL125" t="s">
        <v>288</v>
      </c>
      <c r="AM125" t="s">
        <v>33</v>
      </c>
      <c r="AN125" t="s">
        <v>198</v>
      </c>
      <c r="AO125" s="4"/>
      <c r="AP125" s="4"/>
      <c r="AQ125" s="4"/>
    </row>
    <row r="126" spans="37:43" x14ac:dyDescent="0.25">
      <c r="AL126" t="s">
        <v>387</v>
      </c>
      <c r="AM126" t="s">
        <v>25</v>
      </c>
      <c r="AN126" t="s">
        <v>198</v>
      </c>
      <c r="AO126" s="4"/>
      <c r="AP126" s="4"/>
      <c r="AQ126" s="4"/>
    </row>
    <row r="127" spans="37:43" x14ac:dyDescent="0.25">
      <c r="AK127" s="5" t="s">
        <v>143</v>
      </c>
      <c r="AL127" t="s">
        <v>289</v>
      </c>
      <c r="AM127" s="4" t="s">
        <v>22</v>
      </c>
      <c r="AN127" s="4" t="s">
        <v>203</v>
      </c>
      <c r="AO127" s="4"/>
      <c r="AP127" s="4"/>
      <c r="AQ127" s="4"/>
    </row>
    <row r="128" spans="37:43" x14ac:dyDescent="0.25">
      <c r="AK128" s="5" t="s">
        <v>143</v>
      </c>
      <c r="AL128" t="s">
        <v>290</v>
      </c>
      <c r="AM128" t="s">
        <v>23</v>
      </c>
      <c r="AN128" t="s">
        <v>198</v>
      </c>
      <c r="AO128" s="4"/>
      <c r="AP128" s="4"/>
      <c r="AQ128" s="4"/>
    </row>
    <row r="129" spans="37:43" x14ac:dyDescent="0.25">
      <c r="AL129" t="s">
        <v>388</v>
      </c>
      <c r="AM129" t="s">
        <v>18</v>
      </c>
      <c r="AN129" t="s">
        <v>200</v>
      </c>
      <c r="AO129" s="4"/>
      <c r="AP129" s="4"/>
      <c r="AQ129" s="4"/>
    </row>
    <row r="130" spans="37:43" x14ac:dyDescent="0.25">
      <c r="AK130" s="5" t="s">
        <v>143</v>
      </c>
      <c r="AL130" t="s">
        <v>292</v>
      </c>
      <c r="AM130" t="s">
        <v>13</v>
      </c>
      <c r="AN130" t="s">
        <v>200</v>
      </c>
      <c r="AO130" s="4"/>
      <c r="AP130" s="4"/>
      <c r="AQ130" s="4"/>
    </row>
    <row r="131" spans="37:43" x14ac:dyDescent="0.25">
      <c r="AK131" s="5" t="s">
        <v>143</v>
      </c>
      <c r="AL131" t="s">
        <v>286</v>
      </c>
      <c r="AM131" t="s">
        <v>25</v>
      </c>
      <c r="AN131" t="s">
        <v>200</v>
      </c>
      <c r="AO131" s="4"/>
      <c r="AP131" s="4"/>
      <c r="AQ131" s="4"/>
    </row>
    <row r="132" spans="37:43" x14ac:dyDescent="0.25">
      <c r="AL132" t="s">
        <v>389</v>
      </c>
      <c r="AM132" t="s">
        <v>25</v>
      </c>
      <c r="AN132" t="s">
        <v>198</v>
      </c>
      <c r="AO132" s="4"/>
      <c r="AP132" s="4"/>
      <c r="AQ132" s="4"/>
    </row>
    <row r="133" spans="37:43" x14ac:dyDescent="0.25">
      <c r="AK133" s="5" t="s">
        <v>390</v>
      </c>
      <c r="AL133" t="s">
        <v>391</v>
      </c>
      <c r="AM133" t="s">
        <v>21</v>
      </c>
      <c r="AN133" t="s">
        <v>204</v>
      </c>
      <c r="AO133" s="4"/>
      <c r="AP133" s="4"/>
      <c r="AQ133" s="4"/>
    </row>
    <row r="134" spans="37:43" x14ac:dyDescent="0.25">
      <c r="AL134" t="s">
        <v>392</v>
      </c>
      <c r="AM134" t="s">
        <v>38</v>
      </c>
      <c r="AN134" t="s">
        <v>316</v>
      </c>
      <c r="AO134" s="4"/>
      <c r="AP134" s="4"/>
      <c r="AQ134" s="4"/>
    </row>
    <row r="135" spans="37:43" x14ac:dyDescent="0.25">
      <c r="AK135" s="5" t="s">
        <v>143</v>
      </c>
      <c r="AL135" t="s">
        <v>248</v>
      </c>
      <c r="AM135" t="s">
        <v>23</v>
      </c>
      <c r="AN135" t="s">
        <v>198</v>
      </c>
      <c r="AO135" s="4"/>
      <c r="AP135" s="4"/>
      <c r="AQ135" s="4"/>
    </row>
    <row r="136" spans="37:43" x14ac:dyDescent="0.25">
      <c r="AK136" s="5" t="s">
        <v>143</v>
      </c>
      <c r="AL136" t="s">
        <v>261</v>
      </c>
      <c r="AM136" s="4" t="s">
        <v>18</v>
      </c>
      <c r="AN136" s="4" t="s">
        <v>203</v>
      </c>
      <c r="AO136" s="4"/>
      <c r="AP136" s="4"/>
      <c r="AQ136" s="4"/>
    </row>
    <row r="137" spans="37:43" x14ac:dyDescent="0.25">
      <c r="AK137" s="5" t="s">
        <v>143</v>
      </c>
      <c r="AL137" t="s">
        <v>262</v>
      </c>
      <c r="AM137" t="s">
        <v>24</v>
      </c>
      <c r="AN137" t="s">
        <v>214</v>
      </c>
      <c r="AO137" s="4"/>
      <c r="AP137" s="4"/>
      <c r="AQ137" s="4"/>
    </row>
    <row r="138" spans="37:43" x14ac:dyDescent="0.25">
      <c r="AL138" t="s">
        <v>393</v>
      </c>
      <c r="AM138" t="s">
        <v>33</v>
      </c>
      <c r="AN138" t="s">
        <v>198</v>
      </c>
      <c r="AO138" s="4"/>
      <c r="AP138" s="4"/>
      <c r="AQ138" s="4"/>
    </row>
    <row r="139" spans="37:43" x14ac:dyDescent="0.25">
      <c r="AK139" s="5" t="s">
        <v>334</v>
      </c>
      <c r="AL139" t="s">
        <v>394</v>
      </c>
      <c r="AM139" t="s">
        <v>29</v>
      </c>
      <c r="AN139" t="s">
        <v>204</v>
      </c>
      <c r="AO139" s="4"/>
      <c r="AP139" s="4"/>
      <c r="AQ139" s="4"/>
    </row>
    <row r="140" spans="37:43" x14ac:dyDescent="0.25">
      <c r="AK140" s="5" t="s">
        <v>327</v>
      </c>
      <c r="AL140" t="s">
        <v>395</v>
      </c>
      <c r="AM140" t="s">
        <v>29</v>
      </c>
      <c r="AN140" t="s">
        <v>203</v>
      </c>
      <c r="AO140" s="4"/>
      <c r="AP140" s="4"/>
      <c r="AQ140" s="4"/>
    </row>
    <row r="141" spans="37:43" x14ac:dyDescent="0.25">
      <c r="AK141" s="5" t="s">
        <v>143</v>
      </c>
      <c r="AL141" t="s">
        <v>250</v>
      </c>
      <c r="AM141" t="s">
        <v>14</v>
      </c>
      <c r="AN141" t="s">
        <v>198</v>
      </c>
      <c r="AO141" s="4"/>
      <c r="AP141" s="4"/>
      <c r="AQ141" s="4"/>
    </row>
    <row r="142" spans="37:43" x14ac:dyDescent="0.25">
      <c r="AK142" s="5" t="s">
        <v>143</v>
      </c>
      <c r="AL142" t="s">
        <v>265</v>
      </c>
      <c r="AM142" t="s">
        <v>25</v>
      </c>
      <c r="AN142" t="s">
        <v>316</v>
      </c>
      <c r="AO142" s="4"/>
      <c r="AP142" s="4"/>
      <c r="AQ142" s="4"/>
    </row>
    <row r="143" spans="37:43" x14ac:dyDescent="0.25">
      <c r="AK143" s="5" t="s">
        <v>143</v>
      </c>
      <c r="AL143" t="s">
        <v>266</v>
      </c>
      <c r="AM143" t="s">
        <v>13</v>
      </c>
      <c r="AN143" t="s">
        <v>316</v>
      </c>
      <c r="AO143" s="4"/>
      <c r="AP143" s="4"/>
      <c r="AQ143" s="4"/>
    </row>
    <row r="144" spans="37:43" x14ac:dyDescent="0.25">
      <c r="AL144" t="s">
        <v>396</v>
      </c>
      <c r="AM144" t="s">
        <v>37</v>
      </c>
      <c r="AN144" t="s">
        <v>198</v>
      </c>
      <c r="AO144" s="4"/>
      <c r="AP144" s="4"/>
      <c r="AQ144" s="4"/>
    </row>
    <row r="145" spans="37:43" x14ac:dyDescent="0.25">
      <c r="AK145" s="5" t="s">
        <v>143</v>
      </c>
      <c r="AL145" t="s">
        <v>321</v>
      </c>
      <c r="AM145" t="s">
        <v>12</v>
      </c>
      <c r="AN145" t="s">
        <v>316</v>
      </c>
      <c r="AO145" s="4"/>
      <c r="AP145" s="4"/>
      <c r="AQ145" s="4"/>
    </row>
    <row r="146" spans="37:43" x14ac:dyDescent="0.25">
      <c r="AK146" s="5" t="s">
        <v>143</v>
      </c>
      <c r="AL146" t="s">
        <v>282</v>
      </c>
      <c r="AM146" s="4" t="s">
        <v>29</v>
      </c>
      <c r="AN146" s="4" t="s">
        <v>198</v>
      </c>
      <c r="AO146" s="4"/>
      <c r="AP146" s="4"/>
      <c r="AQ146" s="4"/>
    </row>
    <row r="147" spans="37:43" x14ac:dyDescent="0.25">
      <c r="AL147" t="s">
        <v>397</v>
      </c>
      <c r="AM147" t="s">
        <v>13</v>
      </c>
      <c r="AN147" t="s">
        <v>198</v>
      </c>
      <c r="AO147" s="4"/>
      <c r="AP147" s="4"/>
      <c r="AQ147" s="4"/>
    </row>
    <row r="148" spans="37:43" x14ac:dyDescent="0.25">
      <c r="AK148" s="5" t="s">
        <v>215</v>
      </c>
      <c r="AL148" t="s">
        <v>281</v>
      </c>
      <c r="AM148" t="s">
        <v>22</v>
      </c>
      <c r="AN148" t="s">
        <v>214</v>
      </c>
      <c r="AO148" s="4"/>
      <c r="AP148" s="4"/>
      <c r="AQ148" s="4"/>
    </row>
    <row r="149" spans="37:43" x14ac:dyDescent="0.25">
      <c r="AK149" s="5" t="s">
        <v>143</v>
      </c>
      <c r="AL149" t="s">
        <v>291</v>
      </c>
      <c r="AM149" t="s">
        <v>16</v>
      </c>
      <c r="AN149" t="s">
        <v>316</v>
      </c>
      <c r="AO149" s="4"/>
      <c r="AP149" s="4"/>
      <c r="AQ149" s="4"/>
    </row>
    <row r="150" spans="37:43" x14ac:dyDescent="0.25">
      <c r="AK150" s="5" t="s">
        <v>143</v>
      </c>
      <c r="AL150" t="s">
        <v>298</v>
      </c>
      <c r="AM150" t="s">
        <v>12</v>
      </c>
      <c r="AN150" t="s">
        <v>198</v>
      </c>
      <c r="AO150" s="4"/>
      <c r="AP150" s="4"/>
      <c r="AQ150" s="4"/>
    </row>
    <row r="151" spans="37:43" x14ac:dyDescent="0.25">
      <c r="AK151" s="5" t="s">
        <v>143</v>
      </c>
      <c r="AL151" t="s">
        <v>302</v>
      </c>
      <c r="AM151" s="4" t="s">
        <v>34</v>
      </c>
      <c r="AN151" s="4" t="s">
        <v>214</v>
      </c>
      <c r="AO151" s="4"/>
      <c r="AP151" s="4"/>
      <c r="AQ151" s="4"/>
    </row>
    <row r="152" spans="37:43" x14ac:dyDescent="0.25">
      <c r="AL152" t="s">
        <v>398</v>
      </c>
      <c r="AM152" t="s">
        <v>22</v>
      </c>
      <c r="AN152" t="s">
        <v>200</v>
      </c>
      <c r="AO152" s="4"/>
      <c r="AP152" s="4"/>
      <c r="AQ152" s="4"/>
    </row>
    <row r="153" spans="37:43" x14ac:dyDescent="0.25">
      <c r="AL153" t="s">
        <v>399</v>
      </c>
      <c r="AM153" t="s">
        <v>29</v>
      </c>
      <c r="AN153" t="s">
        <v>198</v>
      </c>
      <c r="AO153" s="4"/>
      <c r="AP153" s="4"/>
      <c r="AQ153" s="4"/>
    </row>
    <row r="154" spans="37:43" x14ac:dyDescent="0.25">
      <c r="AK154" s="5" t="s">
        <v>334</v>
      </c>
      <c r="AL154" t="s">
        <v>400</v>
      </c>
      <c r="AM154" t="s">
        <v>21</v>
      </c>
      <c r="AN154" t="s">
        <v>214</v>
      </c>
      <c r="AO154" s="4"/>
      <c r="AP154" s="4"/>
      <c r="AQ154" s="4"/>
    </row>
    <row r="155" spans="37:43" x14ac:dyDescent="0.25">
      <c r="AK155" s="5" t="s">
        <v>143</v>
      </c>
      <c r="AL155" t="s">
        <v>324</v>
      </c>
      <c r="AM155" t="s">
        <v>12</v>
      </c>
      <c r="AN155" t="s">
        <v>316</v>
      </c>
      <c r="AO155" s="4"/>
      <c r="AP155" s="4"/>
      <c r="AQ155" s="4"/>
    </row>
    <row r="156" spans="37:43" x14ac:dyDescent="0.25">
      <c r="AK156" s="5" t="s">
        <v>143</v>
      </c>
      <c r="AL156" t="s">
        <v>297</v>
      </c>
      <c r="AM156" t="s">
        <v>25</v>
      </c>
      <c r="AN156" t="s">
        <v>200</v>
      </c>
      <c r="AO156" s="4"/>
      <c r="AP156" s="4"/>
      <c r="AQ156" s="4"/>
    </row>
    <row r="157" spans="37:43" x14ac:dyDescent="0.25">
      <c r="AK157" s="5" t="s">
        <v>334</v>
      </c>
      <c r="AL157" t="s">
        <v>401</v>
      </c>
      <c r="AM157" t="s">
        <v>21</v>
      </c>
      <c r="AN157" t="s">
        <v>204</v>
      </c>
      <c r="AO157" s="4"/>
      <c r="AP157" s="4"/>
      <c r="AQ157" s="4"/>
    </row>
    <row r="158" spans="37:43" x14ac:dyDescent="0.25">
      <c r="AK158" s="5" t="s">
        <v>143</v>
      </c>
      <c r="AL158" t="s">
        <v>299</v>
      </c>
      <c r="AM158" s="4" t="s">
        <v>23</v>
      </c>
      <c r="AN158" s="4" t="s">
        <v>198</v>
      </c>
      <c r="AO158" s="4"/>
      <c r="AP158" s="4"/>
      <c r="AQ158" s="4"/>
    </row>
    <row r="159" spans="37:43" x14ac:dyDescent="0.25">
      <c r="AK159" s="5" t="s">
        <v>143</v>
      </c>
      <c r="AL159" t="s">
        <v>267</v>
      </c>
      <c r="AM159" t="s">
        <v>23</v>
      </c>
      <c r="AN159" t="s">
        <v>198</v>
      </c>
      <c r="AO159" s="4"/>
      <c r="AP159" s="4"/>
      <c r="AQ159" s="4"/>
    </row>
    <row r="160" spans="37:43" x14ac:dyDescent="0.25">
      <c r="AK160" s="5" t="s">
        <v>325</v>
      </c>
      <c r="AL160" t="s">
        <v>402</v>
      </c>
      <c r="AM160" t="s">
        <v>20</v>
      </c>
      <c r="AN160" t="s">
        <v>316</v>
      </c>
      <c r="AO160" s="4"/>
      <c r="AP160" s="4"/>
      <c r="AQ160" s="4"/>
    </row>
    <row r="161" spans="37:43" x14ac:dyDescent="0.25">
      <c r="AK161" s="5" t="s">
        <v>143</v>
      </c>
      <c r="AL161" t="s">
        <v>268</v>
      </c>
      <c r="AM161" t="s">
        <v>23</v>
      </c>
      <c r="AN161" t="s">
        <v>203</v>
      </c>
      <c r="AO161" s="4"/>
      <c r="AP161" s="4"/>
      <c r="AQ161" s="4"/>
    </row>
    <row r="162" spans="37:43" x14ac:dyDescent="0.25">
      <c r="AK162" s="5" t="s">
        <v>143</v>
      </c>
      <c r="AL162" t="s">
        <v>273</v>
      </c>
      <c r="AM162" t="s">
        <v>25</v>
      </c>
      <c r="AN162" t="s">
        <v>198</v>
      </c>
      <c r="AO162" s="4"/>
      <c r="AP162" s="4"/>
      <c r="AQ162" s="4"/>
    </row>
    <row r="163" spans="37:43" x14ac:dyDescent="0.25">
      <c r="AK163" s="5" t="s">
        <v>143</v>
      </c>
      <c r="AL163" t="s">
        <v>270</v>
      </c>
      <c r="AM163" t="s">
        <v>25</v>
      </c>
      <c r="AN163" t="s">
        <v>203</v>
      </c>
      <c r="AO163" s="4"/>
      <c r="AP163" s="4"/>
      <c r="AQ163" s="4"/>
    </row>
    <row r="164" spans="37:43" x14ac:dyDescent="0.25">
      <c r="AK164" s="5" t="s">
        <v>143</v>
      </c>
      <c r="AL164" t="s">
        <v>271</v>
      </c>
      <c r="AM164" t="s">
        <v>23</v>
      </c>
      <c r="AN164" t="s">
        <v>203</v>
      </c>
      <c r="AO164" s="4"/>
      <c r="AP164" s="4"/>
      <c r="AQ164" s="4"/>
    </row>
    <row r="165" spans="37:43" x14ac:dyDescent="0.25">
      <c r="AK165" s="5" t="s">
        <v>403</v>
      </c>
      <c r="AL165" t="s">
        <v>404</v>
      </c>
      <c r="AM165" t="s">
        <v>21</v>
      </c>
      <c r="AN165" t="s">
        <v>214</v>
      </c>
      <c r="AO165" s="4"/>
      <c r="AP165" s="4"/>
      <c r="AQ165" s="4"/>
    </row>
    <row r="166" spans="37:43" x14ac:dyDescent="0.25">
      <c r="AK166" s="5" t="s">
        <v>143</v>
      </c>
      <c r="AL166" t="s">
        <v>272</v>
      </c>
      <c r="AM166" s="4" t="s">
        <v>12</v>
      </c>
      <c r="AN166" s="4" t="s">
        <v>316</v>
      </c>
      <c r="AO166" s="4"/>
      <c r="AP166" s="4"/>
      <c r="AQ166" s="4"/>
    </row>
    <row r="167" spans="37:43" x14ac:dyDescent="0.25">
      <c r="AK167" s="5" t="s">
        <v>143</v>
      </c>
      <c r="AL167" t="s">
        <v>278</v>
      </c>
      <c r="AM167" t="s">
        <v>22</v>
      </c>
      <c r="AN167" t="s">
        <v>198</v>
      </c>
      <c r="AO167" s="4"/>
      <c r="AP167" s="4"/>
      <c r="AQ167" s="4"/>
    </row>
    <row r="168" spans="37:43" x14ac:dyDescent="0.25">
      <c r="AK168" s="5" t="s">
        <v>334</v>
      </c>
      <c r="AL168" t="s">
        <v>405</v>
      </c>
      <c r="AM168" t="s">
        <v>32</v>
      </c>
      <c r="AN168" t="s">
        <v>204</v>
      </c>
      <c r="AO168" s="4"/>
      <c r="AP168" s="4"/>
      <c r="AQ168" s="4"/>
    </row>
    <row r="169" spans="37:43" x14ac:dyDescent="0.25">
      <c r="AK169" s="5" t="s">
        <v>406</v>
      </c>
      <c r="AL169" t="s">
        <v>407</v>
      </c>
      <c r="AM169" s="4" t="s">
        <v>24</v>
      </c>
      <c r="AN169" s="4" t="s">
        <v>307</v>
      </c>
      <c r="AO169" s="4"/>
      <c r="AP169" s="4"/>
      <c r="AQ169" s="4"/>
    </row>
    <row r="170" spans="37:43" x14ac:dyDescent="0.25">
      <c r="AK170" s="5" t="s">
        <v>143</v>
      </c>
      <c r="AL170" t="s">
        <v>294</v>
      </c>
      <c r="AM170" t="s">
        <v>23</v>
      </c>
      <c r="AN170" t="s">
        <v>200</v>
      </c>
      <c r="AO170" s="4"/>
      <c r="AP170" s="4"/>
      <c r="AQ170" s="4"/>
    </row>
    <row r="171" spans="37:43" x14ac:dyDescent="0.25">
      <c r="AK171" s="5" t="s">
        <v>334</v>
      </c>
      <c r="AL171" t="s">
        <v>408</v>
      </c>
      <c r="AM171" t="s">
        <v>20</v>
      </c>
      <c r="AN171" t="s">
        <v>204</v>
      </c>
      <c r="AO171" s="4"/>
      <c r="AP171" s="4"/>
      <c r="AQ171" s="4"/>
    </row>
    <row r="172" spans="37:43" x14ac:dyDescent="0.25">
      <c r="AK172" s="5" t="s">
        <v>327</v>
      </c>
      <c r="AL172" t="s">
        <v>409</v>
      </c>
      <c r="AM172" t="s">
        <v>27</v>
      </c>
      <c r="AN172" t="s">
        <v>203</v>
      </c>
      <c r="AO172" s="4"/>
      <c r="AP172" s="4"/>
      <c r="AQ172" s="4"/>
    </row>
    <row r="173" spans="37:43" x14ac:dyDescent="0.25">
      <c r="AK173" s="5" t="s">
        <v>143</v>
      </c>
      <c r="AL173" t="s">
        <v>296</v>
      </c>
      <c r="AM173" t="s">
        <v>23</v>
      </c>
      <c r="AN173" t="s">
        <v>203</v>
      </c>
      <c r="AO173" s="4"/>
      <c r="AP173" s="4"/>
      <c r="AQ173" s="4"/>
    </row>
    <row r="174" spans="37:43" x14ac:dyDescent="0.25">
      <c r="AL174" t="s">
        <v>410</v>
      </c>
      <c r="AM174" t="s">
        <v>18</v>
      </c>
      <c r="AN174" t="s">
        <v>316</v>
      </c>
      <c r="AO174" s="4"/>
      <c r="AP174" s="4"/>
      <c r="AQ174" s="4"/>
    </row>
    <row r="175" spans="37:43" x14ac:dyDescent="0.25">
      <c r="AL175" t="s">
        <v>411</v>
      </c>
      <c r="AM175" t="s">
        <v>27</v>
      </c>
      <c r="AN175" t="s">
        <v>200</v>
      </c>
      <c r="AO175" s="4"/>
      <c r="AP175" s="4"/>
      <c r="AQ175" s="4"/>
    </row>
    <row r="176" spans="37:43" x14ac:dyDescent="0.25">
      <c r="AK176" s="5" t="s">
        <v>334</v>
      </c>
      <c r="AL176" t="s">
        <v>412</v>
      </c>
      <c r="AM176" t="s">
        <v>23</v>
      </c>
      <c r="AN176" t="s">
        <v>204</v>
      </c>
      <c r="AO176" s="4"/>
      <c r="AP176" s="4"/>
      <c r="AQ176" s="4"/>
    </row>
    <row r="177" spans="37:43" x14ac:dyDescent="0.25">
      <c r="AK177" s="5" t="s">
        <v>334</v>
      </c>
      <c r="AL177" t="s">
        <v>413</v>
      </c>
      <c r="AM177" s="4" t="s">
        <v>31</v>
      </c>
      <c r="AN177" s="4" t="s">
        <v>200</v>
      </c>
      <c r="AO177" s="4"/>
      <c r="AP177" s="4"/>
      <c r="AQ177" s="4"/>
    </row>
    <row r="178" spans="37:43" x14ac:dyDescent="0.25">
      <c r="AK178" s="5" t="s">
        <v>143</v>
      </c>
      <c r="AL178" t="s">
        <v>306</v>
      </c>
      <c r="AM178" t="s">
        <v>23</v>
      </c>
      <c r="AN178" t="s">
        <v>200</v>
      </c>
      <c r="AO178" s="4"/>
      <c r="AP178" s="4"/>
      <c r="AQ178" s="4"/>
    </row>
    <row r="179" spans="37:43" x14ac:dyDescent="0.25">
      <c r="AK179" s="5" t="s">
        <v>143</v>
      </c>
      <c r="AL179" t="s">
        <v>310</v>
      </c>
      <c r="AM179" t="s">
        <v>13</v>
      </c>
      <c r="AN179" t="s">
        <v>203</v>
      </c>
      <c r="AO179" s="4"/>
      <c r="AP179" s="4"/>
      <c r="AQ179" s="4"/>
    </row>
    <row r="180" spans="37:43" x14ac:dyDescent="0.25">
      <c r="AL180" t="s">
        <v>414</v>
      </c>
      <c r="AM180" s="4" t="s">
        <v>13</v>
      </c>
      <c r="AN180" s="4" t="s">
        <v>203</v>
      </c>
      <c r="AO180" s="4"/>
      <c r="AP180" s="4"/>
      <c r="AQ180" s="4"/>
    </row>
    <row r="181" spans="37:43" x14ac:dyDescent="0.25">
      <c r="AK181" s="5" t="s">
        <v>143</v>
      </c>
      <c r="AL181" t="s">
        <v>277</v>
      </c>
      <c r="AM181" t="s">
        <v>13</v>
      </c>
      <c r="AN181" t="s">
        <v>214</v>
      </c>
      <c r="AO181" s="4"/>
      <c r="AP181" s="4"/>
      <c r="AQ181" s="4"/>
    </row>
    <row r="182" spans="37:43" x14ac:dyDescent="0.25">
      <c r="AK182" s="5" t="s">
        <v>143</v>
      </c>
      <c r="AL182" t="s">
        <v>276</v>
      </c>
      <c r="AM182" t="s">
        <v>12</v>
      </c>
      <c r="AN182" t="s">
        <v>203</v>
      </c>
      <c r="AO182" s="4"/>
      <c r="AP182" s="4"/>
      <c r="AQ182" s="4"/>
    </row>
    <row r="183" spans="37:43" x14ac:dyDescent="0.25">
      <c r="AK183" s="5" t="s">
        <v>143</v>
      </c>
      <c r="AL183" t="s">
        <v>279</v>
      </c>
      <c r="AM183" t="s">
        <v>33</v>
      </c>
      <c r="AN183" t="s">
        <v>203</v>
      </c>
      <c r="AO183" s="4"/>
      <c r="AP183" s="4"/>
      <c r="AQ183" s="4"/>
    </row>
    <row r="184" spans="37:43" x14ac:dyDescent="0.25">
      <c r="AK184" s="5" t="s">
        <v>415</v>
      </c>
      <c r="AL184" t="s">
        <v>416</v>
      </c>
      <c r="AM184" t="s">
        <v>12</v>
      </c>
      <c r="AN184" t="s">
        <v>198</v>
      </c>
      <c r="AO184" s="4"/>
      <c r="AP184" s="4"/>
      <c r="AQ184" s="4"/>
    </row>
    <row r="185" spans="37:43" x14ac:dyDescent="0.25">
      <c r="AL185" t="s">
        <v>417</v>
      </c>
      <c r="AM185" s="4" t="s">
        <v>12</v>
      </c>
      <c r="AN185" s="4" t="s">
        <v>214</v>
      </c>
      <c r="AO185" s="4"/>
      <c r="AP185" s="4"/>
      <c r="AQ185" s="4"/>
    </row>
    <row r="186" spans="37:43" x14ac:dyDescent="0.25">
      <c r="AK186" s="5" t="s">
        <v>143</v>
      </c>
      <c r="AL186" t="s">
        <v>283</v>
      </c>
      <c r="AM186" t="s">
        <v>25</v>
      </c>
      <c r="AN186" t="s">
        <v>200</v>
      </c>
      <c r="AO186" s="4"/>
      <c r="AP186" s="4"/>
      <c r="AQ186" s="4"/>
    </row>
    <row r="187" spans="37:43" x14ac:dyDescent="0.25">
      <c r="AK187" s="5" t="s">
        <v>143</v>
      </c>
      <c r="AL187" t="s">
        <v>284</v>
      </c>
      <c r="AM187" t="s">
        <v>26</v>
      </c>
      <c r="AN187" t="s">
        <v>214</v>
      </c>
      <c r="AO187" s="4"/>
      <c r="AP187" s="4"/>
      <c r="AQ187" s="4"/>
    </row>
    <row r="188" spans="37:43" x14ac:dyDescent="0.25">
      <c r="AK188" s="5" t="s">
        <v>143</v>
      </c>
      <c r="AL188" t="s">
        <v>303</v>
      </c>
      <c r="AM188" s="4" t="s">
        <v>25</v>
      </c>
      <c r="AN188" s="4" t="s">
        <v>198</v>
      </c>
      <c r="AO188" s="4"/>
      <c r="AP188" s="4"/>
      <c r="AQ188" s="4"/>
    </row>
    <row r="189" spans="37:43" x14ac:dyDescent="0.25">
      <c r="AK189" s="5" t="s">
        <v>143</v>
      </c>
      <c r="AL189" t="s">
        <v>304</v>
      </c>
      <c r="AM189" t="s">
        <v>27</v>
      </c>
      <c r="AN189" t="s">
        <v>200</v>
      </c>
      <c r="AO189" s="4"/>
      <c r="AP189" s="4"/>
      <c r="AQ189" s="4"/>
    </row>
    <row r="190" spans="37:43" x14ac:dyDescent="0.25">
      <c r="AK190" s="5" t="s">
        <v>143</v>
      </c>
      <c r="AL190" t="s">
        <v>305</v>
      </c>
      <c r="AM190" t="s">
        <v>23</v>
      </c>
      <c r="AN190" t="s">
        <v>203</v>
      </c>
      <c r="AO190" s="4"/>
      <c r="AP190" s="4"/>
      <c r="AQ190" s="4"/>
    </row>
    <row r="191" spans="37:43" x14ac:dyDescent="0.25">
      <c r="AK191" s="5" t="s">
        <v>143</v>
      </c>
      <c r="AL191" t="s">
        <v>312</v>
      </c>
      <c r="AM191" t="s">
        <v>27</v>
      </c>
      <c r="AN191" t="s">
        <v>198</v>
      </c>
      <c r="AO191" s="4"/>
      <c r="AP191" s="4"/>
      <c r="AQ191" s="4"/>
    </row>
    <row r="192" spans="37:43" x14ac:dyDescent="0.25">
      <c r="AK192" s="5" t="s">
        <v>143</v>
      </c>
      <c r="AL192" t="s">
        <v>313</v>
      </c>
      <c r="AM192" t="s">
        <v>36</v>
      </c>
      <c r="AN192" t="s">
        <v>203</v>
      </c>
      <c r="AO192" s="4"/>
      <c r="AP192" s="4"/>
      <c r="AQ192" s="4"/>
    </row>
    <row r="193" spans="37:43" x14ac:dyDescent="0.25">
      <c r="AK193" s="5" t="s">
        <v>215</v>
      </c>
      <c r="AL193" t="s">
        <v>314</v>
      </c>
      <c r="AM193" s="4" t="s">
        <v>26</v>
      </c>
      <c r="AN193" s="4" t="s">
        <v>203</v>
      </c>
      <c r="AO193" s="4"/>
      <c r="AP193" s="4"/>
      <c r="AQ193" s="4"/>
    </row>
    <row r="194" spans="37:43" x14ac:dyDescent="0.25">
      <c r="AL194" t="s">
        <v>418</v>
      </c>
      <c r="AM194" t="s">
        <v>16</v>
      </c>
      <c r="AN194" t="s">
        <v>198</v>
      </c>
      <c r="AO194" s="4"/>
      <c r="AP194" s="4"/>
      <c r="AQ194" s="4"/>
    </row>
    <row r="195" spans="37:43" x14ac:dyDescent="0.25">
      <c r="AL195" t="s">
        <v>419</v>
      </c>
      <c r="AM195" t="s">
        <v>16</v>
      </c>
      <c r="AN195" t="s">
        <v>316</v>
      </c>
      <c r="AO195" s="4"/>
      <c r="AP195" s="4"/>
      <c r="AQ195" s="4"/>
    </row>
    <row r="196" spans="37:43" x14ac:dyDescent="0.25">
      <c r="AK196" s="5" t="s">
        <v>334</v>
      </c>
      <c r="AL196" t="s">
        <v>420</v>
      </c>
      <c r="AM196" t="s">
        <v>27</v>
      </c>
      <c r="AN196" t="s">
        <v>204</v>
      </c>
      <c r="AO196" s="4"/>
      <c r="AP196" s="4"/>
      <c r="AQ196" s="4"/>
    </row>
    <row r="197" spans="37:43" x14ac:dyDescent="0.25">
      <c r="AK197" s="5" t="s">
        <v>143</v>
      </c>
      <c r="AL197" t="s">
        <v>315</v>
      </c>
      <c r="AM197" t="s">
        <v>27</v>
      </c>
      <c r="AN197" t="s">
        <v>200</v>
      </c>
      <c r="AO197" s="4"/>
      <c r="AP197" s="4"/>
      <c r="AQ197" s="4"/>
    </row>
    <row r="198" spans="37:43" x14ac:dyDescent="0.25">
      <c r="AL198" t="s">
        <v>421</v>
      </c>
      <c r="AM198" t="s">
        <v>16</v>
      </c>
      <c r="AN198" t="s">
        <v>198</v>
      </c>
      <c r="AO198" s="4"/>
      <c r="AP198" s="4"/>
      <c r="AQ198" s="4"/>
    </row>
    <row r="199" spans="37:43" x14ac:dyDescent="0.25">
      <c r="AK199" s="5" t="s">
        <v>143</v>
      </c>
      <c r="AL199" t="s">
        <v>285</v>
      </c>
      <c r="AM199" t="s">
        <v>21</v>
      </c>
      <c r="AN199" t="s">
        <v>214</v>
      </c>
      <c r="AO199" s="4"/>
      <c r="AP199" s="4"/>
      <c r="AQ199" s="4"/>
    </row>
    <row r="200" spans="37:43" x14ac:dyDescent="0.25">
      <c r="AL200" t="s">
        <v>422</v>
      </c>
      <c r="AM200" s="4" t="s">
        <v>29</v>
      </c>
      <c r="AN200" s="4" t="s">
        <v>200</v>
      </c>
      <c r="AO200" s="4"/>
      <c r="AP200" s="4"/>
      <c r="AQ200" s="4"/>
    </row>
    <row r="201" spans="37:43" x14ac:dyDescent="0.25">
      <c r="AL201" t="s">
        <v>423</v>
      </c>
      <c r="AM201" t="s">
        <v>13</v>
      </c>
      <c r="AN201" t="s">
        <v>200</v>
      </c>
      <c r="AO201" s="4"/>
      <c r="AP201" s="4"/>
      <c r="AQ201" s="4"/>
    </row>
    <row r="202" spans="37:43" x14ac:dyDescent="0.25">
      <c r="AL202" t="s">
        <v>424</v>
      </c>
      <c r="AM202" t="s">
        <v>12</v>
      </c>
      <c r="AN202" t="s">
        <v>214</v>
      </c>
      <c r="AO202" s="4"/>
      <c r="AP202" s="4"/>
      <c r="AQ202" s="4"/>
    </row>
    <row r="203" spans="37:43" x14ac:dyDescent="0.25">
      <c r="AK203" s="5" t="s">
        <v>143</v>
      </c>
      <c r="AL203" t="s">
        <v>293</v>
      </c>
      <c r="AM203" t="s">
        <v>23</v>
      </c>
      <c r="AN203" t="s">
        <v>200</v>
      </c>
      <c r="AO203" s="4"/>
      <c r="AP203" s="4"/>
      <c r="AQ203" s="4"/>
    </row>
    <row r="204" spans="37:43" x14ac:dyDescent="0.25">
      <c r="AK204" s="5" t="s">
        <v>143</v>
      </c>
      <c r="AL204" t="s">
        <v>287</v>
      </c>
      <c r="AM204" t="s">
        <v>23</v>
      </c>
      <c r="AN204" t="s">
        <v>200</v>
      </c>
      <c r="AO204" s="4"/>
      <c r="AP204" s="4"/>
      <c r="AQ204" s="4"/>
    </row>
    <row r="205" spans="37:43" x14ac:dyDescent="0.25">
      <c r="AK205" s="5" t="s">
        <v>352</v>
      </c>
      <c r="AL205" t="s">
        <v>425</v>
      </c>
      <c r="AM205" t="s">
        <v>26</v>
      </c>
      <c r="AN205" t="s">
        <v>214</v>
      </c>
      <c r="AO205" s="4"/>
      <c r="AP205" s="4"/>
      <c r="AQ205" s="4"/>
    </row>
    <row r="206" spans="37:43" x14ac:dyDescent="0.25">
      <c r="AK206" s="5" t="s">
        <v>143</v>
      </c>
      <c r="AL206" t="s">
        <v>295</v>
      </c>
      <c r="AM206" s="4" t="s">
        <v>13</v>
      </c>
      <c r="AN206" s="4" t="s">
        <v>214</v>
      </c>
      <c r="AO206" s="4"/>
      <c r="AP206" s="4"/>
      <c r="AQ206" s="4"/>
    </row>
    <row r="207" spans="37:43" x14ac:dyDescent="0.25">
      <c r="AL207" t="s">
        <v>426</v>
      </c>
      <c r="AM207" t="s">
        <v>25</v>
      </c>
      <c r="AN207" t="s">
        <v>316</v>
      </c>
      <c r="AO207" s="4"/>
      <c r="AP207" s="4"/>
      <c r="AQ207" s="4"/>
    </row>
    <row r="208" spans="37:43" x14ac:dyDescent="0.25">
      <c r="AK208" s="5" t="s">
        <v>327</v>
      </c>
      <c r="AL208" t="s">
        <v>427</v>
      </c>
      <c r="AM208" s="4" t="s">
        <v>31</v>
      </c>
      <c r="AN208" s="4" t="s">
        <v>203</v>
      </c>
      <c r="AO208" s="4"/>
      <c r="AP208" s="4"/>
      <c r="AQ208" s="4"/>
    </row>
    <row r="209" spans="37:43" x14ac:dyDescent="0.25">
      <c r="AK209" s="5" t="s">
        <v>143</v>
      </c>
      <c r="AL209" t="s">
        <v>300</v>
      </c>
      <c r="AM209" t="s">
        <v>20</v>
      </c>
      <c r="AN209" t="s">
        <v>200</v>
      </c>
      <c r="AO209" s="4"/>
      <c r="AP209" s="4"/>
      <c r="AQ209" s="4"/>
    </row>
    <row r="210" spans="37:43" x14ac:dyDescent="0.25">
      <c r="AL210" t="s">
        <v>428</v>
      </c>
      <c r="AM210" t="s">
        <v>33</v>
      </c>
      <c r="AN210" t="s">
        <v>316</v>
      </c>
      <c r="AO210" s="4"/>
      <c r="AP210" s="4"/>
      <c r="AQ210" s="4"/>
    </row>
    <row r="211" spans="37:43" x14ac:dyDescent="0.25">
      <c r="AK211" s="5" t="s">
        <v>327</v>
      </c>
      <c r="AL211" t="s">
        <v>429</v>
      </c>
      <c r="AM211" t="s">
        <v>20</v>
      </c>
      <c r="AN211" t="s">
        <v>214</v>
      </c>
      <c r="AO211" s="4"/>
      <c r="AP211" s="4"/>
      <c r="AQ211" s="4"/>
    </row>
    <row r="212" spans="37:43" x14ac:dyDescent="0.25">
      <c r="AK212" s="5" t="s">
        <v>334</v>
      </c>
      <c r="AL212" t="s">
        <v>430</v>
      </c>
      <c r="AM212" t="s">
        <v>14</v>
      </c>
      <c r="AN212" t="s">
        <v>204</v>
      </c>
      <c r="AO212" s="4"/>
      <c r="AP212" s="4"/>
      <c r="AQ212" s="4"/>
    </row>
    <row r="213" spans="37:43" x14ac:dyDescent="0.25">
      <c r="AL213" t="s">
        <v>431</v>
      </c>
      <c r="AM213" t="s">
        <v>16</v>
      </c>
      <c r="AN213" t="s">
        <v>203</v>
      </c>
      <c r="AO213" s="4"/>
      <c r="AP213" s="4"/>
      <c r="AQ213" s="4"/>
    </row>
    <row r="214" spans="37:43" x14ac:dyDescent="0.25">
      <c r="AL214" t="s">
        <v>432</v>
      </c>
      <c r="AM214" t="s">
        <v>16</v>
      </c>
      <c r="AN214" t="s">
        <v>198</v>
      </c>
      <c r="AO214" s="4"/>
      <c r="AP214" s="4"/>
      <c r="AQ214" s="4"/>
    </row>
    <row r="215" spans="37:43" x14ac:dyDescent="0.25">
      <c r="AK215" s="5" t="s">
        <v>143</v>
      </c>
      <c r="AL215" t="s">
        <v>308</v>
      </c>
      <c r="AM215" t="s">
        <v>275</v>
      </c>
      <c r="AN215" t="s">
        <v>203</v>
      </c>
      <c r="AO215" s="4"/>
      <c r="AP215" s="4"/>
      <c r="AQ215" s="4"/>
    </row>
    <row r="216" spans="37:43" x14ac:dyDescent="0.25">
      <c r="AK216" s="5" t="s">
        <v>143</v>
      </c>
      <c r="AL216" t="s">
        <v>309</v>
      </c>
      <c r="AM216" t="s">
        <v>23</v>
      </c>
      <c r="AN216" t="s">
        <v>203</v>
      </c>
      <c r="AO216" s="4"/>
      <c r="AP216" s="4"/>
      <c r="AQ216" s="4"/>
    </row>
    <row r="217" spans="37:43" x14ac:dyDescent="0.25">
      <c r="AK217" s="5" t="s">
        <v>327</v>
      </c>
      <c r="AL217" t="s">
        <v>433</v>
      </c>
      <c r="AM217" t="s">
        <v>32</v>
      </c>
      <c r="AN217" t="s">
        <v>214</v>
      </c>
      <c r="AO217" s="4"/>
      <c r="AP217" s="4"/>
      <c r="AQ217" s="4"/>
    </row>
    <row r="218" spans="37:43" x14ac:dyDescent="0.25">
      <c r="AK218" s="5" t="s">
        <v>327</v>
      </c>
      <c r="AL218" t="s">
        <v>434</v>
      </c>
      <c r="AM218" t="s">
        <v>27</v>
      </c>
      <c r="AN218" t="s">
        <v>214</v>
      </c>
      <c r="AO218" s="4"/>
      <c r="AP218" s="4"/>
      <c r="AQ218" s="4"/>
    </row>
    <row r="219" spans="37:43" x14ac:dyDescent="0.25">
      <c r="AK219" s="5" t="s">
        <v>143</v>
      </c>
      <c r="AL219" t="s">
        <v>311</v>
      </c>
      <c r="AM219" t="s">
        <v>24</v>
      </c>
      <c r="AN219" t="s">
        <v>214</v>
      </c>
      <c r="AO219" s="4"/>
      <c r="AP219" s="4"/>
      <c r="AQ219" s="4"/>
    </row>
    <row r="220" spans="37:43" x14ac:dyDescent="0.25">
      <c r="AM220" s="4"/>
      <c r="AN220" s="4"/>
      <c r="AO220" s="4"/>
      <c r="AP220" s="4"/>
      <c r="AQ220" s="4"/>
    </row>
    <row r="221" spans="37:43" x14ac:dyDescent="0.25">
      <c r="AM221" s="4"/>
      <c r="AN221" s="4"/>
      <c r="AO221" s="4"/>
      <c r="AP221" s="4"/>
      <c r="AQ221" s="4"/>
    </row>
    <row r="222" spans="37:43" x14ac:dyDescent="0.25">
      <c r="AO222" s="4"/>
      <c r="AP222" s="4"/>
      <c r="AQ222" s="4"/>
    </row>
    <row r="223" spans="37:43" x14ac:dyDescent="0.25">
      <c r="AO223" s="4"/>
      <c r="AP223" s="4"/>
      <c r="AQ223" s="4"/>
    </row>
    <row r="224" spans="37:43" x14ac:dyDescent="0.25">
      <c r="AO224" s="4"/>
      <c r="AP224" s="4"/>
      <c r="AQ224" s="4"/>
    </row>
    <row r="225" spans="39:43" x14ac:dyDescent="0.25">
      <c r="AO225" s="4"/>
      <c r="AP225" s="4"/>
      <c r="AQ225" s="4"/>
    </row>
    <row r="226" spans="39:43" x14ac:dyDescent="0.25">
      <c r="AO226" s="4"/>
      <c r="AP226" s="4"/>
      <c r="AQ226" s="4"/>
    </row>
    <row r="227" spans="39:43" x14ac:dyDescent="0.25">
      <c r="AO227" s="4"/>
      <c r="AP227" s="4"/>
      <c r="AQ227" s="4"/>
    </row>
    <row r="228" spans="39:43" x14ac:dyDescent="0.25">
      <c r="AO228" s="4"/>
      <c r="AP228" s="4"/>
      <c r="AQ228" s="4"/>
    </row>
    <row r="229" spans="39:43" x14ac:dyDescent="0.25">
      <c r="AO229" s="4"/>
      <c r="AP229" s="4"/>
      <c r="AQ229" s="4"/>
    </row>
    <row r="230" spans="39:43" x14ac:dyDescent="0.25">
      <c r="AO230" s="4"/>
      <c r="AP230" s="4"/>
      <c r="AQ230" s="4"/>
    </row>
    <row r="231" spans="39:43" x14ac:dyDescent="0.25">
      <c r="AM231" s="4"/>
      <c r="AN231" s="4"/>
      <c r="AO231" s="4"/>
      <c r="AP231" s="4"/>
      <c r="AQ231" s="4"/>
    </row>
    <row r="232" spans="39:43" x14ac:dyDescent="0.25">
      <c r="AO232" s="4"/>
      <c r="AP232" s="4"/>
      <c r="AQ232" s="4"/>
    </row>
    <row r="233" spans="39:43" x14ac:dyDescent="0.25">
      <c r="AO233" s="4"/>
      <c r="AP233" s="4"/>
      <c r="AQ233" s="4"/>
    </row>
    <row r="234" spans="39:43" x14ac:dyDescent="0.25">
      <c r="AO234" s="4"/>
      <c r="AP234" s="4"/>
      <c r="AQ234" s="4"/>
    </row>
    <row r="235" spans="39:43" x14ac:dyDescent="0.25">
      <c r="AO235" s="4"/>
      <c r="AP235" s="4"/>
      <c r="AQ235" s="4"/>
    </row>
    <row r="236" spans="39:43" x14ac:dyDescent="0.25">
      <c r="AO236" s="4"/>
      <c r="AP236" s="4"/>
      <c r="AQ236" s="4"/>
    </row>
    <row r="237" spans="39:43" x14ac:dyDescent="0.25">
      <c r="AM237" s="4"/>
      <c r="AN237" s="4"/>
      <c r="AO237" s="4"/>
      <c r="AP237" s="4"/>
      <c r="AQ237" s="4"/>
    </row>
    <row r="238" spans="39:43" x14ac:dyDescent="0.25">
      <c r="AO238" s="4"/>
      <c r="AP238" s="4"/>
      <c r="AQ238" s="4"/>
    </row>
    <row r="239" spans="39:43" x14ac:dyDescent="0.25">
      <c r="AO239" s="4"/>
      <c r="AP239" s="4"/>
      <c r="AQ239" s="4"/>
    </row>
    <row r="240" spans="39:43" x14ac:dyDescent="0.25">
      <c r="AO240" s="4"/>
      <c r="AP240" s="4"/>
      <c r="AQ240" s="4"/>
    </row>
    <row r="241" spans="39:43" x14ac:dyDescent="0.25">
      <c r="AO241" s="4"/>
      <c r="AP241" s="4"/>
      <c r="AQ241" s="4"/>
    </row>
    <row r="242" spans="39:43" x14ac:dyDescent="0.25">
      <c r="AM242" s="4"/>
      <c r="AN242" s="4"/>
      <c r="AO242" s="4"/>
      <c r="AP242" s="4"/>
      <c r="AQ242" s="4"/>
    </row>
    <row r="243" spans="39:43" x14ac:dyDescent="0.25">
      <c r="AO243" s="4"/>
      <c r="AP243" s="4"/>
      <c r="AQ243" s="4"/>
    </row>
    <row r="244" spans="39:43" x14ac:dyDescent="0.25">
      <c r="AM244" s="4"/>
      <c r="AN244" s="4"/>
      <c r="AO244" s="4"/>
      <c r="AP244" s="4"/>
      <c r="AQ244" s="4"/>
    </row>
    <row r="245" spans="39:43" x14ac:dyDescent="0.25">
      <c r="AO245" s="4"/>
      <c r="AP245" s="4"/>
      <c r="AQ245" s="4"/>
    </row>
    <row r="246" spans="39:43" x14ac:dyDescent="0.25">
      <c r="AO246" s="4"/>
      <c r="AP246" s="4"/>
      <c r="AQ246" s="4"/>
    </row>
    <row r="247" spans="39:43" x14ac:dyDescent="0.25">
      <c r="AO247" s="4"/>
      <c r="AP247" s="4"/>
      <c r="AQ247" s="4"/>
    </row>
    <row r="248" spans="39:43" x14ac:dyDescent="0.25">
      <c r="AO248" s="4"/>
      <c r="AP248" s="4"/>
      <c r="AQ248" s="4"/>
    </row>
    <row r="249" spans="39:43" x14ac:dyDescent="0.25">
      <c r="AO249" s="4"/>
      <c r="AP249" s="4"/>
      <c r="AQ249" s="4"/>
    </row>
    <row r="250" spans="39:43" x14ac:dyDescent="0.25">
      <c r="AM250" s="4"/>
      <c r="AN250" s="4"/>
      <c r="AO250" s="4"/>
      <c r="AP250" s="4"/>
      <c r="AQ250" s="4"/>
    </row>
    <row r="251" spans="39:43" x14ac:dyDescent="0.25">
      <c r="AM251" s="4"/>
      <c r="AN251" s="4"/>
      <c r="AO251" s="4"/>
      <c r="AP251" s="4"/>
      <c r="AQ251" s="4"/>
    </row>
    <row r="252" spans="39:43" x14ac:dyDescent="0.25">
      <c r="AO252" s="4"/>
      <c r="AP252" s="4"/>
      <c r="AQ252" s="4"/>
    </row>
    <row r="253" spans="39:43" x14ac:dyDescent="0.25">
      <c r="AO253" s="4"/>
      <c r="AP253" s="4"/>
      <c r="AQ253" s="4"/>
    </row>
    <row r="254" spans="39:43" x14ac:dyDescent="0.25">
      <c r="AO254" s="4"/>
      <c r="AP254" s="4"/>
      <c r="AQ254" s="4"/>
    </row>
    <row r="255" spans="39:43" x14ac:dyDescent="0.25">
      <c r="AO255" s="4"/>
      <c r="AP255" s="4"/>
      <c r="AQ255" s="4"/>
    </row>
    <row r="256" spans="39:43" x14ac:dyDescent="0.25">
      <c r="AO256" s="4"/>
      <c r="AP256" s="4"/>
      <c r="AQ256" s="4"/>
    </row>
    <row r="257" spans="39:43" x14ac:dyDescent="0.25">
      <c r="AM257" s="4"/>
      <c r="AN257" s="4"/>
      <c r="AO257" s="4"/>
      <c r="AP257" s="4"/>
      <c r="AQ257" s="4"/>
    </row>
    <row r="258" spans="39:43" x14ac:dyDescent="0.25">
      <c r="AO258" s="4"/>
      <c r="AP258" s="4"/>
      <c r="AQ258" s="4"/>
    </row>
    <row r="259" spans="39:43" x14ac:dyDescent="0.25">
      <c r="AO259" s="4"/>
      <c r="AP259" s="4"/>
      <c r="AQ259" s="4"/>
    </row>
    <row r="260" spans="39:43" x14ac:dyDescent="0.25">
      <c r="AO260" s="4"/>
      <c r="AP260" s="4"/>
      <c r="AQ260" s="4"/>
    </row>
    <row r="261" spans="39:43" x14ac:dyDescent="0.25">
      <c r="AO261" s="4"/>
      <c r="AP261" s="4"/>
      <c r="AQ261" s="4"/>
    </row>
    <row r="262" spans="39:43" x14ac:dyDescent="0.25">
      <c r="AO262" s="4"/>
      <c r="AP262" s="4"/>
      <c r="AQ262" s="4"/>
    </row>
    <row r="263" spans="39:43" x14ac:dyDescent="0.25">
      <c r="AO263" s="4"/>
      <c r="AP263" s="4"/>
      <c r="AQ263" s="4"/>
    </row>
    <row r="264" spans="39:43" x14ac:dyDescent="0.25">
      <c r="AO264" s="4"/>
      <c r="AP264" s="4"/>
      <c r="AQ264" s="4"/>
    </row>
    <row r="265" spans="39:43" x14ac:dyDescent="0.25">
      <c r="AO265" s="4"/>
      <c r="AP265" s="4"/>
      <c r="AQ265" s="4"/>
    </row>
    <row r="266" spans="39:43" x14ac:dyDescent="0.25">
      <c r="AO266" s="4"/>
      <c r="AP266" s="4"/>
      <c r="AQ266" s="4"/>
    </row>
    <row r="267" spans="39:43" x14ac:dyDescent="0.25">
      <c r="AO267" s="4"/>
      <c r="AP267" s="4"/>
      <c r="AQ267" s="4"/>
    </row>
    <row r="268" spans="39:43" x14ac:dyDescent="0.25">
      <c r="AO268" s="4"/>
      <c r="AP268" s="4"/>
      <c r="AQ268" s="4"/>
    </row>
    <row r="269" spans="39:43" x14ac:dyDescent="0.25">
      <c r="AO269" s="4"/>
      <c r="AP269" s="4"/>
      <c r="AQ269" s="4"/>
    </row>
    <row r="270" spans="39:43" x14ac:dyDescent="0.25">
      <c r="AO270" s="4"/>
      <c r="AP270" s="4"/>
      <c r="AQ270" s="4"/>
    </row>
    <row r="271" spans="39:43" x14ac:dyDescent="0.25">
      <c r="AO271" s="4"/>
      <c r="AP271" s="4"/>
      <c r="AQ271" s="4"/>
    </row>
    <row r="272" spans="39:43" x14ac:dyDescent="0.25">
      <c r="AO272" s="4"/>
      <c r="AP272" s="4"/>
      <c r="AQ272" s="4"/>
    </row>
    <row r="273" spans="39:43" x14ac:dyDescent="0.25">
      <c r="AO273" s="4"/>
      <c r="AP273" s="4"/>
      <c r="AQ273" s="4"/>
    </row>
    <row r="274" spans="39:43" x14ac:dyDescent="0.25">
      <c r="AO274" s="4"/>
      <c r="AP274" s="4"/>
      <c r="AQ274" s="4"/>
    </row>
    <row r="275" spans="39:43" x14ac:dyDescent="0.25">
      <c r="AO275" s="4"/>
      <c r="AP275" s="4"/>
      <c r="AQ275" s="4"/>
    </row>
    <row r="276" spans="39:43" x14ac:dyDescent="0.25">
      <c r="AM276" s="4"/>
      <c r="AN276" s="4"/>
      <c r="AO276" s="4"/>
      <c r="AP276" s="4"/>
      <c r="AQ276" s="4"/>
    </row>
    <row r="277" spans="39:43" x14ac:dyDescent="0.25">
      <c r="AM277" s="4"/>
      <c r="AN277" s="4"/>
      <c r="AO277" s="4"/>
      <c r="AP277" s="4"/>
      <c r="AQ277" s="4"/>
    </row>
    <row r="278" spans="39:43" x14ac:dyDescent="0.25">
      <c r="AO278" s="4"/>
      <c r="AP278" s="4"/>
      <c r="AQ278" s="4"/>
    </row>
    <row r="279" spans="39:43" x14ac:dyDescent="0.25">
      <c r="AO279" s="4"/>
      <c r="AP279" s="4"/>
      <c r="AQ279" s="4"/>
    </row>
    <row r="280" spans="39:43" x14ac:dyDescent="0.25">
      <c r="AO280" s="4"/>
      <c r="AP280" s="4"/>
      <c r="AQ280" s="4"/>
    </row>
    <row r="281" spans="39:43" x14ac:dyDescent="0.25">
      <c r="AM281" s="4"/>
      <c r="AN281" s="4"/>
      <c r="AO281" s="4"/>
      <c r="AP281" s="4"/>
      <c r="AQ281" s="4"/>
    </row>
    <row r="282" spans="39:43" x14ac:dyDescent="0.25">
      <c r="AO282" s="4"/>
      <c r="AP282" s="4"/>
      <c r="AQ282" s="4"/>
    </row>
    <row r="283" spans="39:43" x14ac:dyDescent="0.25">
      <c r="AO283" s="4"/>
      <c r="AP283" s="4"/>
      <c r="AQ283" s="4"/>
    </row>
    <row r="284" spans="39:43" x14ac:dyDescent="0.25">
      <c r="AO284" s="4"/>
      <c r="AP284" s="4"/>
      <c r="AQ284" s="4"/>
    </row>
    <row r="285" spans="39:43" x14ac:dyDescent="0.25">
      <c r="AO285" s="4"/>
      <c r="AP285" s="4"/>
      <c r="AQ285" s="4"/>
    </row>
    <row r="286" spans="39:43" x14ac:dyDescent="0.25">
      <c r="AO286" s="4"/>
      <c r="AP286" s="4"/>
      <c r="AQ286" s="4"/>
    </row>
    <row r="287" spans="39:43" x14ac:dyDescent="0.25">
      <c r="AO287" s="4"/>
      <c r="AP287" s="4"/>
    </row>
    <row r="288" spans="39:43" x14ac:dyDescent="0.25">
      <c r="AO288" s="4"/>
      <c r="AP288" s="4"/>
    </row>
    <row r="289" spans="39:42" x14ac:dyDescent="0.25">
      <c r="AM289" s="4"/>
      <c r="AN289" s="4"/>
      <c r="AO289" s="4"/>
      <c r="AP289" s="4"/>
    </row>
    <row r="290" spans="39:42" x14ac:dyDescent="0.25">
      <c r="AO290" s="4"/>
      <c r="AP290" s="4"/>
    </row>
    <row r="291" spans="39:42" x14ac:dyDescent="0.25">
      <c r="AO291" s="4"/>
      <c r="AP291" s="4"/>
    </row>
    <row r="292" spans="39:42" x14ac:dyDescent="0.25">
      <c r="AO292" s="4"/>
      <c r="AP292" s="4"/>
    </row>
    <row r="293" spans="39:42" x14ac:dyDescent="0.25">
      <c r="AO293" s="4"/>
      <c r="AP293" s="4"/>
    </row>
    <row r="294" spans="39:42" x14ac:dyDescent="0.25">
      <c r="AO294" s="4"/>
      <c r="AP294" s="4"/>
    </row>
    <row r="295" spans="39:42" x14ac:dyDescent="0.25">
      <c r="AO295" s="4"/>
      <c r="AP295" s="4"/>
    </row>
    <row r="296" spans="39:42" x14ac:dyDescent="0.25">
      <c r="AO296" s="4"/>
      <c r="AP296" s="4"/>
    </row>
    <row r="297" spans="39:42" x14ac:dyDescent="0.25">
      <c r="AM297" s="4"/>
      <c r="AN297" s="4"/>
      <c r="AO297" s="4"/>
      <c r="AP297" s="4"/>
    </row>
    <row r="298" spans="39:42" x14ac:dyDescent="0.25">
      <c r="AO298" s="4"/>
      <c r="AP298" s="4"/>
    </row>
    <row r="299" spans="39:42" x14ac:dyDescent="0.25">
      <c r="AO299" s="4"/>
      <c r="AP299" s="4"/>
    </row>
    <row r="300" spans="39:42" x14ac:dyDescent="0.25">
      <c r="AO300" s="4"/>
      <c r="AP300" s="4"/>
    </row>
    <row r="301" spans="39:42" x14ac:dyDescent="0.25">
      <c r="AO301" s="4"/>
      <c r="AP301" s="4"/>
    </row>
    <row r="302" spans="39:42" x14ac:dyDescent="0.25">
      <c r="AO302" s="4"/>
      <c r="AP302" s="4"/>
    </row>
    <row r="303" spans="39:42" x14ac:dyDescent="0.25">
      <c r="AM303" s="4"/>
      <c r="AN303" s="4"/>
      <c r="AO303" s="4"/>
      <c r="AP303" s="4"/>
    </row>
    <row r="304" spans="39:42" x14ac:dyDescent="0.25">
      <c r="AM304" s="4"/>
      <c r="AN304" s="4"/>
      <c r="AO304" s="4"/>
      <c r="AP304" s="4"/>
    </row>
    <row r="305" spans="39:42" x14ac:dyDescent="0.25">
      <c r="AM305" s="4"/>
      <c r="AN305" s="4"/>
      <c r="AO305" s="4"/>
      <c r="AP305" s="4"/>
    </row>
    <row r="306" spans="39:42" x14ac:dyDescent="0.25">
      <c r="AO306" s="4"/>
      <c r="AP306" s="4"/>
    </row>
    <row r="307" spans="39:42" x14ac:dyDescent="0.25">
      <c r="AO307" s="4"/>
      <c r="AP307" s="4"/>
    </row>
    <row r="308" spans="39:42" x14ac:dyDescent="0.25">
      <c r="AO308" s="4"/>
      <c r="AP308" s="4"/>
    </row>
    <row r="309" spans="39:42" x14ac:dyDescent="0.25">
      <c r="AO309" s="4"/>
      <c r="AP309" s="4"/>
    </row>
    <row r="310" spans="39:42" x14ac:dyDescent="0.25">
      <c r="AO310" s="4"/>
      <c r="AP310" s="4"/>
    </row>
    <row r="311" spans="39:42" x14ac:dyDescent="0.25">
      <c r="AO311" s="4"/>
      <c r="AP311" s="4"/>
    </row>
    <row r="312" spans="39:42" x14ac:dyDescent="0.25">
      <c r="AO312" s="4"/>
      <c r="AP312" s="4"/>
    </row>
    <row r="313" spans="39:42" x14ac:dyDescent="0.25">
      <c r="AO313" s="4"/>
      <c r="AP313" s="4"/>
    </row>
    <row r="314" spans="39:42" x14ac:dyDescent="0.25">
      <c r="AO314" s="4"/>
      <c r="AP314" s="4"/>
    </row>
    <row r="315" spans="39:42" x14ac:dyDescent="0.25">
      <c r="AO315" s="4"/>
      <c r="AP315" s="4"/>
    </row>
    <row r="316" spans="39:42" x14ac:dyDescent="0.25">
      <c r="AO316" s="4"/>
      <c r="AP316" s="4"/>
    </row>
    <row r="317" spans="39:42" x14ac:dyDescent="0.25">
      <c r="AO317" s="4"/>
      <c r="AP317" s="4"/>
    </row>
    <row r="318" spans="39:42" x14ac:dyDescent="0.25">
      <c r="AO318" s="4"/>
      <c r="AP318" s="4"/>
    </row>
    <row r="319" spans="39:42" x14ac:dyDescent="0.25">
      <c r="AM319" s="4"/>
      <c r="AN319" s="4"/>
      <c r="AO319" s="4"/>
      <c r="AP319" s="4"/>
    </row>
    <row r="320" spans="39:42" x14ac:dyDescent="0.25">
      <c r="AO320" s="4"/>
      <c r="AP320" s="4"/>
    </row>
    <row r="321" spans="39:42" x14ac:dyDescent="0.25">
      <c r="AO321" s="4"/>
      <c r="AP321" s="4"/>
    </row>
    <row r="322" spans="39:42" x14ac:dyDescent="0.25">
      <c r="AM322" s="4"/>
      <c r="AN322" s="4"/>
      <c r="AO322" s="4"/>
      <c r="AP322" s="4"/>
    </row>
    <row r="323" spans="39:42" x14ac:dyDescent="0.25">
      <c r="AM323" s="4"/>
      <c r="AN323" s="4"/>
      <c r="AO323" s="4"/>
      <c r="AP323" s="4"/>
    </row>
    <row r="324" spans="39:42" x14ac:dyDescent="0.25">
      <c r="AO324" s="4"/>
      <c r="AP324" s="4"/>
    </row>
    <row r="325" spans="39:42" x14ac:dyDescent="0.25">
      <c r="AO325" s="4"/>
      <c r="AP325" s="4"/>
    </row>
    <row r="326" spans="39:42" x14ac:dyDescent="0.25">
      <c r="AO326" s="4"/>
      <c r="AP326" s="4"/>
    </row>
    <row r="327" spans="39:42" x14ac:dyDescent="0.25">
      <c r="AO327" s="4"/>
      <c r="AP327" s="4"/>
    </row>
    <row r="328" spans="39:42" x14ac:dyDescent="0.25">
      <c r="AO328" s="4"/>
      <c r="AP328" s="4"/>
    </row>
    <row r="329" spans="39:42" x14ac:dyDescent="0.25">
      <c r="AO329" s="4"/>
      <c r="AP329" s="4"/>
    </row>
    <row r="330" spans="39:42" x14ac:dyDescent="0.25">
      <c r="AO330" s="4"/>
      <c r="AP330" s="4"/>
    </row>
    <row r="331" spans="39:42" x14ac:dyDescent="0.25">
      <c r="AO331" s="4"/>
      <c r="AP331" s="4"/>
    </row>
    <row r="332" spans="39:42" x14ac:dyDescent="0.25">
      <c r="AO332" s="4"/>
      <c r="AP332" s="4"/>
    </row>
    <row r="333" spans="39:42" x14ac:dyDescent="0.25">
      <c r="AO333" s="4"/>
      <c r="AP333" s="4"/>
    </row>
    <row r="334" spans="39:42" x14ac:dyDescent="0.25">
      <c r="AO334" s="4"/>
      <c r="AP334" s="4"/>
    </row>
    <row r="335" spans="39:42" x14ac:dyDescent="0.25">
      <c r="AO335" s="4"/>
      <c r="AP335" s="4"/>
    </row>
    <row r="336" spans="39:42" x14ac:dyDescent="0.25">
      <c r="AM336" s="4"/>
      <c r="AN336" s="4"/>
      <c r="AO336" s="4"/>
      <c r="AP336" s="4"/>
    </row>
    <row r="337" spans="39:42" x14ac:dyDescent="0.25">
      <c r="AO337" s="4"/>
      <c r="AP337" s="4"/>
    </row>
    <row r="338" spans="39:42" x14ac:dyDescent="0.25">
      <c r="AM338" s="4"/>
      <c r="AN338" s="4"/>
      <c r="AO338" s="4"/>
      <c r="AP338" s="4"/>
    </row>
    <row r="339" spans="39:42" x14ac:dyDescent="0.25">
      <c r="AO339" s="4"/>
      <c r="AP339" s="4"/>
    </row>
    <row r="340" spans="39:42" x14ac:dyDescent="0.25">
      <c r="AO340" s="4"/>
      <c r="AP340" s="4"/>
    </row>
    <row r="341" spans="39:42" x14ac:dyDescent="0.25">
      <c r="AO341" s="4"/>
      <c r="AP341" s="4"/>
    </row>
    <row r="342" spans="39:42" x14ac:dyDescent="0.25">
      <c r="AO342" s="4"/>
      <c r="AP342" s="4"/>
    </row>
    <row r="343" spans="39:42" x14ac:dyDescent="0.25">
      <c r="AM343" s="4"/>
      <c r="AN343" s="4"/>
      <c r="AO343" s="4"/>
      <c r="AP343" s="4"/>
    </row>
    <row r="344" spans="39:42" x14ac:dyDescent="0.25">
      <c r="AO344" s="4"/>
      <c r="AP344" s="4"/>
    </row>
    <row r="345" spans="39:42" x14ac:dyDescent="0.25">
      <c r="AO345" s="4"/>
      <c r="AP345" s="4"/>
    </row>
    <row r="346" spans="39:42" x14ac:dyDescent="0.25">
      <c r="AO346" s="4"/>
      <c r="AP346" s="4"/>
    </row>
    <row r="347" spans="39:42" x14ac:dyDescent="0.25">
      <c r="AM347" s="4"/>
      <c r="AN347" s="4"/>
      <c r="AO347" s="4"/>
      <c r="AP347" s="4"/>
    </row>
    <row r="348" spans="39:42" x14ac:dyDescent="0.25">
      <c r="AO348" s="4"/>
      <c r="AP348" s="4"/>
    </row>
    <row r="349" spans="39:42" x14ac:dyDescent="0.25">
      <c r="AO349" s="4"/>
      <c r="AP349" s="4"/>
    </row>
    <row r="350" spans="39:42" x14ac:dyDescent="0.25">
      <c r="AO350" s="4"/>
      <c r="AP350" s="4"/>
    </row>
    <row r="351" spans="39:42" x14ac:dyDescent="0.25">
      <c r="AM351" s="4"/>
      <c r="AN351" s="4"/>
      <c r="AO351" s="4"/>
      <c r="AP351" s="4"/>
    </row>
    <row r="352" spans="39:42" x14ac:dyDescent="0.25">
      <c r="AO352" s="4"/>
      <c r="AP352" s="4"/>
    </row>
    <row r="353" spans="39:42" x14ac:dyDescent="0.25">
      <c r="AM353" s="4"/>
      <c r="AN353" s="4"/>
      <c r="AO353" s="4"/>
      <c r="AP353" s="4"/>
    </row>
    <row r="354" spans="39:42" x14ac:dyDescent="0.25">
      <c r="AO354" s="4"/>
      <c r="AP354" s="4"/>
    </row>
    <row r="355" spans="39:42" x14ac:dyDescent="0.25">
      <c r="AO355" s="4"/>
      <c r="AP355" s="4"/>
    </row>
    <row r="356" spans="39:42" x14ac:dyDescent="0.25">
      <c r="AO356" s="4"/>
      <c r="AP356" s="4"/>
    </row>
    <row r="357" spans="39:42" x14ac:dyDescent="0.25">
      <c r="AO357" s="4"/>
      <c r="AP357" s="4"/>
    </row>
    <row r="358" spans="39:42" x14ac:dyDescent="0.25">
      <c r="AO358" s="4"/>
      <c r="AP358" s="4"/>
    </row>
    <row r="359" spans="39:42" x14ac:dyDescent="0.25">
      <c r="AO359" s="4"/>
      <c r="AP359" s="4"/>
    </row>
    <row r="360" spans="39:42" x14ac:dyDescent="0.25">
      <c r="AM360" s="4"/>
      <c r="AN360" s="4"/>
      <c r="AO360" s="4"/>
      <c r="AP360" s="4"/>
    </row>
    <row r="361" spans="39:42" x14ac:dyDescent="0.25">
      <c r="AO361" s="4"/>
      <c r="AP361" s="4"/>
    </row>
    <row r="362" spans="39:42" x14ac:dyDescent="0.25">
      <c r="AO362" s="4"/>
      <c r="AP362" s="4"/>
    </row>
    <row r="363" spans="39:42" x14ac:dyDescent="0.25">
      <c r="AO363" s="4"/>
      <c r="AP363" s="4"/>
    </row>
    <row r="364" spans="39:42" x14ac:dyDescent="0.25">
      <c r="AO364" s="4"/>
      <c r="AP364" s="4"/>
    </row>
    <row r="365" spans="39:42" x14ac:dyDescent="0.25">
      <c r="AO365" s="4"/>
      <c r="AP365" s="4"/>
    </row>
    <row r="366" spans="39:42" x14ac:dyDescent="0.25">
      <c r="AO366" s="4"/>
      <c r="AP366" s="4"/>
    </row>
    <row r="367" spans="39:42" x14ac:dyDescent="0.25">
      <c r="AO367" s="4"/>
      <c r="AP367" s="4"/>
    </row>
    <row r="368" spans="39:42" x14ac:dyDescent="0.25">
      <c r="AO368" s="4"/>
      <c r="AP368" s="4"/>
    </row>
    <row r="369" spans="39:42" x14ac:dyDescent="0.25">
      <c r="AO369" s="4"/>
      <c r="AP369" s="4"/>
    </row>
    <row r="370" spans="39:42" x14ac:dyDescent="0.25">
      <c r="AO370" s="4"/>
      <c r="AP370" s="4"/>
    </row>
    <row r="371" spans="39:42" x14ac:dyDescent="0.25">
      <c r="AO371" s="4"/>
      <c r="AP371" s="4"/>
    </row>
    <row r="372" spans="39:42" x14ac:dyDescent="0.25">
      <c r="AO372" s="4"/>
      <c r="AP372" s="4"/>
    </row>
    <row r="373" spans="39:42" x14ac:dyDescent="0.25">
      <c r="AM373" s="4"/>
      <c r="AN373" s="4"/>
      <c r="AO373" s="4"/>
      <c r="AP373" s="4"/>
    </row>
    <row r="374" spans="39:42" x14ac:dyDescent="0.25">
      <c r="AM374" s="4"/>
      <c r="AN374" s="4"/>
      <c r="AO374" s="4"/>
      <c r="AP374" s="4"/>
    </row>
    <row r="375" spans="39:42" x14ac:dyDescent="0.25">
      <c r="AO375" s="4"/>
      <c r="AP375" s="4"/>
    </row>
    <row r="376" spans="39:42" x14ac:dyDescent="0.25">
      <c r="AO376" s="4"/>
      <c r="AP376" s="4"/>
    </row>
    <row r="377" spans="39:42" x14ac:dyDescent="0.25">
      <c r="AO377" s="4"/>
      <c r="AP377" s="4"/>
    </row>
    <row r="378" spans="39:42" x14ac:dyDescent="0.25">
      <c r="AM378" s="4"/>
      <c r="AN378" s="4"/>
      <c r="AO378" s="4"/>
      <c r="AP378" s="4"/>
    </row>
    <row r="379" spans="39:42" x14ac:dyDescent="0.25">
      <c r="AO379" s="4"/>
      <c r="AP379" s="4"/>
    </row>
    <row r="380" spans="39:42" x14ac:dyDescent="0.25">
      <c r="AO380" s="4"/>
      <c r="AP380" s="4"/>
    </row>
    <row r="381" spans="39:42" x14ac:dyDescent="0.25">
      <c r="AO381" s="4"/>
      <c r="AP381" s="4"/>
    </row>
    <row r="382" spans="39:42" x14ac:dyDescent="0.25">
      <c r="AO382" s="4"/>
      <c r="AP382" s="4"/>
    </row>
    <row r="383" spans="39:42" x14ac:dyDescent="0.25">
      <c r="AO383" s="4"/>
      <c r="AP383" s="4"/>
    </row>
    <row r="384" spans="39:42" x14ac:dyDescent="0.25">
      <c r="AO384" s="4"/>
      <c r="AP384" s="4"/>
    </row>
    <row r="385" spans="39:42" x14ac:dyDescent="0.25">
      <c r="AO385" s="4"/>
      <c r="AP385" s="4"/>
    </row>
    <row r="386" spans="39:42" x14ac:dyDescent="0.25">
      <c r="AO386" s="4"/>
      <c r="AP386" s="4"/>
    </row>
    <row r="387" spans="39:42" x14ac:dyDescent="0.25">
      <c r="AO387" s="4"/>
      <c r="AP387" s="4"/>
    </row>
    <row r="388" spans="39:42" x14ac:dyDescent="0.25">
      <c r="AO388" s="4"/>
      <c r="AP388" s="4"/>
    </row>
    <row r="389" spans="39:42" x14ac:dyDescent="0.25">
      <c r="AO389" s="4"/>
      <c r="AP389" s="4"/>
    </row>
    <row r="390" spans="39:42" x14ac:dyDescent="0.25">
      <c r="AO390" s="4"/>
      <c r="AP390" s="4"/>
    </row>
    <row r="391" spans="39:42" x14ac:dyDescent="0.25">
      <c r="AO391" s="4"/>
      <c r="AP391" s="4"/>
    </row>
    <row r="392" spans="39:42" x14ac:dyDescent="0.25">
      <c r="AO392" s="4"/>
      <c r="AP392" s="4"/>
    </row>
    <row r="393" spans="39:42" x14ac:dyDescent="0.25">
      <c r="AO393" s="4"/>
      <c r="AP393" s="4"/>
    </row>
    <row r="394" spans="39:42" x14ac:dyDescent="0.25">
      <c r="AO394" s="4"/>
      <c r="AP394" s="4"/>
    </row>
    <row r="395" spans="39:42" x14ac:dyDescent="0.25">
      <c r="AO395" s="4"/>
      <c r="AP395" s="4"/>
    </row>
    <row r="396" spans="39:42" x14ac:dyDescent="0.25">
      <c r="AO396" s="4"/>
      <c r="AP396" s="4"/>
    </row>
    <row r="397" spans="39:42" x14ac:dyDescent="0.25">
      <c r="AO397" s="4"/>
      <c r="AP397" s="4"/>
    </row>
    <row r="398" spans="39:42" x14ac:dyDescent="0.25">
      <c r="AO398" s="4"/>
      <c r="AP398" s="4"/>
    </row>
    <row r="399" spans="39:42" x14ac:dyDescent="0.25">
      <c r="AO399" s="4"/>
      <c r="AP399" s="4"/>
    </row>
    <row r="400" spans="39:42" x14ac:dyDescent="0.25">
      <c r="AM400" s="4"/>
      <c r="AN400" s="4"/>
      <c r="AO400" s="4"/>
      <c r="AP400" s="4"/>
    </row>
    <row r="401" spans="39:42" x14ac:dyDescent="0.25">
      <c r="AO401" s="4"/>
      <c r="AP401" s="4"/>
    </row>
    <row r="402" spans="39:42" x14ac:dyDescent="0.25">
      <c r="AO402" s="4"/>
      <c r="AP402" s="4"/>
    </row>
    <row r="403" spans="39:42" x14ac:dyDescent="0.25">
      <c r="AO403" s="4"/>
      <c r="AP403" s="4"/>
    </row>
    <row r="404" spans="39:42" x14ac:dyDescent="0.25">
      <c r="AM404" s="4"/>
      <c r="AN404" s="4"/>
      <c r="AO404" s="4"/>
      <c r="AP404" s="4"/>
    </row>
    <row r="405" spans="39:42" x14ac:dyDescent="0.25">
      <c r="AO405" s="4"/>
      <c r="AP405" s="4"/>
    </row>
    <row r="406" spans="39:42" x14ac:dyDescent="0.25">
      <c r="AO406" s="4"/>
      <c r="AP406" s="4"/>
    </row>
    <row r="407" spans="39:42" x14ac:dyDescent="0.25">
      <c r="AO407" s="4"/>
      <c r="AP407" s="4"/>
    </row>
    <row r="408" spans="39:42" x14ac:dyDescent="0.25">
      <c r="AM408" s="4"/>
      <c r="AN408" s="4"/>
      <c r="AO408" s="4"/>
      <c r="AP408" s="4"/>
    </row>
    <row r="409" spans="39:42" x14ac:dyDescent="0.25">
      <c r="AO409" s="4"/>
      <c r="AP409" s="4"/>
    </row>
    <row r="410" spans="39:42" x14ac:dyDescent="0.25">
      <c r="AO410" s="4"/>
      <c r="AP410" s="4"/>
    </row>
    <row r="411" spans="39:42" x14ac:dyDescent="0.25">
      <c r="AO411" s="4"/>
      <c r="AP411" s="4"/>
    </row>
    <row r="412" spans="39:42" x14ac:dyDescent="0.25">
      <c r="AO412" s="4"/>
      <c r="AP412" s="4"/>
    </row>
    <row r="413" spans="39:42" x14ac:dyDescent="0.25">
      <c r="AO413" s="4"/>
      <c r="AP413" s="4"/>
    </row>
    <row r="414" spans="39:42" x14ac:dyDescent="0.25">
      <c r="AO414" s="4"/>
      <c r="AP414" s="4"/>
    </row>
    <row r="415" spans="39:42" x14ac:dyDescent="0.25">
      <c r="AM415" s="4"/>
      <c r="AN415" s="4"/>
      <c r="AO415" s="4"/>
      <c r="AP415" s="4"/>
    </row>
    <row r="416" spans="39:42" x14ac:dyDescent="0.25">
      <c r="AO416" s="4"/>
      <c r="AP416" s="4"/>
    </row>
    <row r="417" spans="39:42" x14ac:dyDescent="0.25">
      <c r="AM417" s="4"/>
      <c r="AN417" s="4"/>
      <c r="AO417" s="4"/>
      <c r="AP417" s="4"/>
    </row>
    <row r="418" spans="39:42" x14ac:dyDescent="0.25">
      <c r="AO418" s="4"/>
      <c r="AP418" s="4"/>
    </row>
    <row r="419" spans="39:42" x14ac:dyDescent="0.25">
      <c r="AO419" s="4"/>
      <c r="AP419" s="4"/>
    </row>
    <row r="420" spans="39:42" x14ac:dyDescent="0.25">
      <c r="AO420" s="4"/>
      <c r="AP420" s="4"/>
    </row>
    <row r="421" spans="39:42" x14ac:dyDescent="0.25">
      <c r="AO421" s="4"/>
      <c r="AP421" s="4"/>
    </row>
    <row r="422" spans="39:42" x14ac:dyDescent="0.25">
      <c r="AO422" s="4"/>
      <c r="AP422" s="4"/>
    </row>
    <row r="423" spans="39:42" x14ac:dyDescent="0.25">
      <c r="AO423" s="4"/>
      <c r="AP423" s="4"/>
    </row>
    <row r="424" spans="39:42" x14ac:dyDescent="0.25">
      <c r="AM424" s="4"/>
      <c r="AN424" s="4"/>
      <c r="AO424" s="4"/>
      <c r="AP424" s="4"/>
    </row>
    <row r="425" spans="39:42" x14ac:dyDescent="0.25">
      <c r="AO425" s="4"/>
      <c r="AP425" s="4"/>
    </row>
    <row r="426" spans="39:42" x14ac:dyDescent="0.25">
      <c r="AO426" s="4"/>
      <c r="AP426" s="4"/>
    </row>
    <row r="427" spans="39:42" x14ac:dyDescent="0.25">
      <c r="AM427" s="4"/>
      <c r="AN427" s="4"/>
      <c r="AO427" s="4"/>
      <c r="AP427" s="4"/>
    </row>
    <row r="428" spans="39:42" x14ac:dyDescent="0.25">
      <c r="AO428" s="4"/>
      <c r="AP428" s="4"/>
    </row>
    <row r="429" spans="39:42" x14ac:dyDescent="0.25">
      <c r="AO429" s="4"/>
      <c r="AP429" s="4"/>
    </row>
    <row r="430" spans="39:42" x14ac:dyDescent="0.25">
      <c r="AO430" s="4"/>
      <c r="AP430" s="4"/>
    </row>
    <row r="431" spans="39:42" x14ac:dyDescent="0.25">
      <c r="AO431" s="4"/>
      <c r="AP431" s="4"/>
    </row>
    <row r="432" spans="39:42" x14ac:dyDescent="0.25">
      <c r="AO432" s="4"/>
      <c r="AP432" s="4"/>
    </row>
    <row r="433" spans="39:42" x14ac:dyDescent="0.25">
      <c r="AO433" s="4"/>
      <c r="AP433" s="4"/>
    </row>
    <row r="434" spans="39:42" x14ac:dyDescent="0.25">
      <c r="AO434" s="4"/>
      <c r="AP434" s="4"/>
    </row>
    <row r="435" spans="39:42" x14ac:dyDescent="0.25">
      <c r="AO435" s="4"/>
      <c r="AP435" s="4"/>
    </row>
    <row r="436" spans="39:42" x14ac:dyDescent="0.25">
      <c r="AO436" s="4"/>
      <c r="AP436" s="4"/>
    </row>
    <row r="437" spans="39:42" x14ac:dyDescent="0.25">
      <c r="AO437" s="4"/>
      <c r="AP437" s="4"/>
    </row>
    <row r="438" spans="39:42" x14ac:dyDescent="0.25">
      <c r="AO438" s="4"/>
      <c r="AP438" s="4"/>
    </row>
    <row r="439" spans="39:42" x14ac:dyDescent="0.25">
      <c r="AO439" s="4"/>
      <c r="AP439" s="4"/>
    </row>
    <row r="440" spans="39:42" x14ac:dyDescent="0.25">
      <c r="AM440" s="4"/>
      <c r="AN440" s="4"/>
      <c r="AO440" s="4"/>
      <c r="AP440" s="4"/>
    </row>
    <row r="441" spans="39:42" x14ac:dyDescent="0.25">
      <c r="AO441" s="4"/>
      <c r="AP441" s="4"/>
    </row>
    <row r="442" spans="39:42" x14ac:dyDescent="0.25">
      <c r="AO442" s="4"/>
      <c r="AP442" s="4"/>
    </row>
    <row r="443" spans="39:42" x14ac:dyDescent="0.25">
      <c r="AO443" s="4"/>
      <c r="AP443" s="4"/>
    </row>
    <row r="444" spans="39:42" x14ac:dyDescent="0.25">
      <c r="AM444" s="4"/>
      <c r="AN444" s="4"/>
      <c r="AO444" s="4"/>
      <c r="AP444" s="4"/>
    </row>
    <row r="445" spans="39:42" x14ac:dyDescent="0.25">
      <c r="AO445" s="4"/>
      <c r="AP445" s="4"/>
    </row>
    <row r="446" spans="39:42" x14ac:dyDescent="0.25">
      <c r="AM446" s="4"/>
      <c r="AN446" s="4"/>
      <c r="AO446" s="4"/>
      <c r="AP446" s="4"/>
    </row>
    <row r="447" spans="39:42" x14ac:dyDescent="0.25">
      <c r="AO447" s="4"/>
      <c r="AP447" s="4"/>
    </row>
    <row r="448" spans="39:42" x14ac:dyDescent="0.25">
      <c r="AO448" s="4"/>
      <c r="AP448" s="4"/>
    </row>
    <row r="449" spans="39:42" x14ac:dyDescent="0.25">
      <c r="AO449" s="4"/>
      <c r="AP449" s="4"/>
    </row>
    <row r="450" spans="39:42" x14ac:dyDescent="0.25">
      <c r="AM450" s="4"/>
      <c r="AN450" s="4"/>
      <c r="AO450" s="4"/>
      <c r="AP450" s="4"/>
    </row>
    <row r="451" spans="39:42" x14ac:dyDescent="0.25">
      <c r="AM451" s="4"/>
      <c r="AN451" s="4"/>
      <c r="AO451" s="4"/>
      <c r="AP451" s="4"/>
    </row>
    <row r="452" spans="39:42" x14ac:dyDescent="0.25">
      <c r="AO452" s="4"/>
      <c r="AP452" s="4"/>
    </row>
    <row r="453" spans="39:42" x14ac:dyDescent="0.25">
      <c r="AO453" s="4"/>
      <c r="AP453" s="4"/>
    </row>
    <row r="454" spans="39:42" x14ac:dyDescent="0.25">
      <c r="AO454" s="4"/>
      <c r="AP454" s="4"/>
    </row>
    <row r="455" spans="39:42" x14ac:dyDescent="0.25">
      <c r="AO455" s="4"/>
      <c r="AP455" s="4"/>
    </row>
    <row r="456" spans="39:42" x14ac:dyDescent="0.25">
      <c r="AO456" s="4"/>
      <c r="AP456" s="4"/>
    </row>
    <row r="457" spans="39:42" x14ac:dyDescent="0.25">
      <c r="AO457" s="4"/>
      <c r="AP457" s="4"/>
    </row>
    <row r="458" spans="39:42" x14ac:dyDescent="0.25">
      <c r="AM458" s="4"/>
      <c r="AN458" s="4"/>
      <c r="AO458" s="4"/>
      <c r="AP458" s="4"/>
    </row>
    <row r="459" spans="39:42" x14ac:dyDescent="0.25">
      <c r="AO459" s="4"/>
      <c r="AP459" s="4"/>
    </row>
    <row r="460" spans="39:42" x14ac:dyDescent="0.25">
      <c r="AO460" s="4"/>
      <c r="AP460" s="4"/>
    </row>
    <row r="461" spans="39:42" x14ac:dyDescent="0.25">
      <c r="AO461" s="4"/>
      <c r="AP461" s="4"/>
    </row>
    <row r="462" spans="39:42" x14ac:dyDescent="0.25">
      <c r="AO462" s="4"/>
      <c r="AP462" s="4"/>
    </row>
    <row r="463" spans="39:42" x14ac:dyDescent="0.25">
      <c r="AO463" s="4"/>
      <c r="AP463" s="4"/>
    </row>
    <row r="464" spans="39:42" x14ac:dyDescent="0.25">
      <c r="AO464" s="4"/>
      <c r="AP464" s="4"/>
    </row>
    <row r="465" spans="39:42" x14ac:dyDescent="0.25">
      <c r="AO465" s="4"/>
      <c r="AP465" s="4"/>
    </row>
    <row r="466" spans="39:42" x14ac:dyDescent="0.25">
      <c r="AO466" s="4"/>
      <c r="AP466" s="4"/>
    </row>
    <row r="467" spans="39:42" x14ac:dyDescent="0.25">
      <c r="AO467" s="4"/>
      <c r="AP467" s="4"/>
    </row>
    <row r="468" spans="39:42" x14ac:dyDescent="0.25">
      <c r="AO468" s="4"/>
      <c r="AP468" s="4"/>
    </row>
    <row r="469" spans="39:42" x14ac:dyDescent="0.25">
      <c r="AO469" s="4"/>
      <c r="AP469" s="4"/>
    </row>
    <row r="470" spans="39:42" x14ac:dyDescent="0.25">
      <c r="AM470" s="4"/>
      <c r="AN470" s="4"/>
      <c r="AO470" s="4"/>
      <c r="AP470" s="4"/>
    </row>
    <row r="471" spans="39:42" x14ac:dyDescent="0.25">
      <c r="AO471" s="4"/>
      <c r="AP471" s="4"/>
    </row>
    <row r="472" spans="39:42" x14ac:dyDescent="0.25">
      <c r="AM472" s="4"/>
      <c r="AN472" s="4"/>
      <c r="AO472" s="4"/>
      <c r="AP472" s="4"/>
    </row>
    <row r="473" spans="39:42" x14ac:dyDescent="0.25">
      <c r="AO473" s="4"/>
      <c r="AP473" s="4"/>
    </row>
    <row r="474" spans="39:42" x14ac:dyDescent="0.25">
      <c r="AO474" s="4"/>
      <c r="AP474" s="4"/>
    </row>
    <row r="475" spans="39:42" x14ac:dyDescent="0.25">
      <c r="AO475" s="4"/>
      <c r="AP475" s="4"/>
    </row>
    <row r="476" spans="39:42" x14ac:dyDescent="0.25">
      <c r="AO476" s="4"/>
      <c r="AP476" s="4"/>
    </row>
    <row r="477" spans="39:42" x14ac:dyDescent="0.25">
      <c r="AO477" s="4"/>
      <c r="AP477" s="4"/>
    </row>
    <row r="478" spans="39:42" x14ac:dyDescent="0.25">
      <c r="AO478" s="4"/>
      <c r="AP478" s="4"/>
    </row>
    <row r="479" spans="39:42" x14ac:dyDescent="0.25">
      <c r="AO479" s="4"/>
      <c r="AP479" s="4"/>
    </row>
    <row r="480" spans="39:42" x14ac:dyDescent="0.25">
      <c r="AM480" s="4"/>
      <c r="AN480" s="4"/>
      <c r="AO480" s="4"/>
      <c r="AP480" s="4"/>
    </row>
    <row r="481" spans="41:42" x14ac:dyDescent="0.25">
      <c r="AO481" s="4"/>
      <c r="AP481" s="4"/>
    </row>
    <row r="482" spans="41:42" x14ac:dyDescent="0.25">
      <c r="AO482" s="4"/>
      <c r="AP482" s="4"/>
    </row>
    <row r="483" spans="41:42" x14ac:dyDescent="0.25">
      <c r="AO483" s="4"/>
      <c r="AP483" s="4"/>
    </row>
    <row r="484" spans="41:42" x14ac:dyDescent="0.25">
      <c r="AO484" s="4"/>
      <c r="AP484" s="4"/>
    </row>
    <row r="485" spans="41:42" x14ac:dyDescent="0.25">
      <c r="AO485" s="4"/>
      <c r="AP485" s="4"/>
    </row>
    <row r="486" spans="41:42" x14ac:dyDescent="0.25">
      <c r="AO486" s="4"/>
      <c r="AP486" s="4"/>
    </row>
    <row r="487" spans="41:42" x14ac:dyDescent="0.25">
      <c r="AO487" s="4"/>
      <c r="AP487" s="4"/>
    </row>
    <row r="488" spans="41:42" x14ac:dyDescent="0.25">
      <c r="AO488" s="4"/>
      <c r="AP488" s="4"/>
    </row>
    <row r="489" spans="41:42" x14ac:dyDescent="0.25">
      <c r="AO489" s="4"/>
      <c r="AP489" s="4"/>
    </row>
    <row r="490" spans="41:42" x14ac:dyDescent="0.25">
      <c r="AO490" s="4"/>
      <c r="AP490" s="4"/>
    </row>
    <row r="491" spans="41:42" x14ac:dyDescent="0.25">
      <c r="AO491" s="4"/>
      <c r="AP491" s="4"/>
    </row>
    <row r="492" spans="41:42" x14ac:dyDescent="0.25">
      <c r="AO492" s="4"/>
      <c r="AP492" s="4"/>
    </row>
    <row r="493" spans="41:42" x14ac:dyDescent="0.25">
      <c r="AO493" s="4"/>
      <c r="AP493" s="4"/>
    </row>
    <row r="494" spans="41:42" x14ac:dyDescent="0.25">
      <c r="AO494" s="4"/>
      <c r="AP494" s="4"/>
    </row>
    <row r="495" spans="41:42" x14ac:dyDescent="0.25">
      <c r="AO495" s="4"/>
      <c r="AP495" s="4"/>
    </row>
    <row r="496" spans="41:42" x14ac:dyDescent="0.25">
      <c r="AO496" s="4"/>
      <c r="AP496" s="4"/>
    </row>
    <row r="497" spans="41:42" x14ac:dyDescent="0.25">
      <c r="AO497" s="4"/>
      <c r="AP497" s="4"/>
    </row>
    <row r="498" spans="41:42" x14ac:dyDescent="0.25">
      <c r="AO498" s="4"/>
      <c r="AP498" s="4"/>
    </row>
    <row r="499" spans="41:42" x14ac:dyDescent="0.25">
      <c r="AO499" s="4"/>
      <c r="AP499" s="4"/>
    </row>
    <row r="500" spans="41:42" x14ac:dyDescent="0.25">
      <c r="AO500" s="4"/>
      <c r="AP500" s="4"/>
    </row>
    <row r="501" spans="41:42" x14ac:dyDescent="0.25">
      <c r="AO501" s="4"/>
      <c r="AP501" s="4"/>
    </row>
    <row r="502" spans="41:42" x14ac:dyDescent="0.25">
      <c r="AO502" s="4"/>
      <c r="AP502" s="4"/>
    </row>
    <row r="503" spans="41:42" x14ac:dyDescent="0.25">
      <c r="AO503" s="4"/>
      <c r="AP503" s="4"/>
    </row>
    <row r="504" spans="41:42" x14ac:dyDescent="0.25">
      <c r="AO504" s="4"/>
      <c r="AP504" s="4"/>
    </row>
    <row r="505" spans="41:42" x14ac:dyDescent="0.25">
      <c r="AO505" s="4"/>
      <c r="AP505" s="4"/>
    </row>
    <row r="506" spans="41:42" x14ac:dyDescent="0.25">
      <c r="AO506" s="4"/>
      <c r="AP506" s="4"/>
    </row>
    <row r="507" spans="41:42" x14ac:dyDescent="0.25">
      <c r="AO507" s="4"/>
      <c r="AP507" s="4"/>
    </row>
    <row r="508" spans="41:42" x14ac:dyDescent="0.25">
      <c r="AO508" s="4"/>
      <c r="AP508" s="4"/>
    </row>
    <row r="509" spans="41:42" x14ac:dyDescent="0.25">
      <c r="AO509" s="4"/>
      <c r="AP509" s="4"/>
    </row>
    <row r="510" spans="41:42" x14ac:dyDescent="0.25">
      <c r="AO510" s="4"/>
      <c r="AP510" s="4"/>
    </row>
    <row r="511" spans="41:42" x14ac:dyDescent="0.25">
      <c r="AO511" s="4"/>
      <c r="AP511" s="4"/>
    </row>
    <row r="512" spans="41:42" x14ac:dyDescent="0.25">
      <c r="AO512" s="4"/>
      <c r="AP512" s="4"/>
    </row>
    <row r="513" spans="39:42" x14ac:dyDescent="0.25">
      <c r="AO513" s="4"/>
      <c r="AP513" s="4"/>
    </row>
    <row r="514" spans="39:42" x14ac:dyDescent="0.25">
      <c r="AO514" s="4"/>
      <c r="AP514" s="4"/>
    </row>
    <row r="515" spans="39:42" x14ac:dyDescent="0.25">
      <c r="AO515" s="4"/>
      <c r="AP515" s="4"/>
    </row>
    <row r="516" spans="39:42" x14ac:dyDescent="0.25">
      <c r="AO516" s="4"/>
      <c r="AP516" s="4"/>
    </row>
    <row r="517" spans="39:42" x14ac:dyDescent="0.25">
      <c r="AM517" s="4"/>
      <c r="AN517" s="4"/>
      <c r="AO517" s="4"/>
      <c r="AP517" s="4"/>
    </row>
    <row r="518" spans="39:42" x14ac:dyDescent="0.25">
      <c r="AO518" s="4"/>
      <c r="AP518" s="4"/>
    </row>
    <row r="519" spans="39:42" x14ac:dyDescent="0.25">
      <c r="AO519" s="4"/>
      <c r="AP519" s="4"/>
    </row>
    <row r="520" spans="39:42" x14ac:dyDescent="0.25">
      <c r="AO520" s="4"/>
      <c r="AP520" s="4"/>
    </row>
    <row r="521" spans="39:42" x14ac:dyDescent="0.25">
      <c r="AO521" s="4"/>
      <c r="AP521" s="4"/>
    </row>
    <row r="522" spans="39:42" x14ac:dyDescent="0.25">
      <c r="AO522" s="4"/>
      <c r="AP522" s="4"/>
    </row>
    <row r="523" spans="39:42" x14ac:dyDescent="0.25">
      <c r="AO523" s="4"/>
      <c r="AP523" s="4"/>
    </row>
    <row r="524" spans="39:42" x14ac:dyDescent="0.25">
      <c r="AO524" s="4"/>
      <c r="AP524" s="4"/>
    </row>
    <row r="525" spans="39:42" x14ac:dyDescent="0.25">
      <c r="AO525" s="4"/>
      <c r="AP525" s="4"/>
    </row>
    <row r="526" spans="39:42" x14ac:dyDescent="0.25">
      <c r="AM526" s="4"/>
      <c r="AN526" s="4"/>
      <c r="AO526" s="4"/>
      <c r="AP526" s="4"/>
    </row>
    <row r="527" spans="39:42" x14ac:dyDescent="0.25">
      <c r="AO527" s="4"/>
      <c r="AP527" s="4"/>
    </row>
    <row r="528" spans="39:42" x14ac:dyDescent="0.25">
      <c r="AM528" s="4"/>
      <c r="AN528" s="4"/>
      <c r="AO528" s="4"/>
      <c r="AP528" s="4"/>
    </row>
    <row r="529" spans="39:42" x14ac:dyDescent="0.25">
      <c r="AM529" s="4"/>
      <c r="AN529" s="4"/>
      <c r="AO529" s="4"/>
      <c r="AP529" s="4"/>
    </row>
    <row r="530" spans="39:42" x14ac:dyDescent="0.25">
      <c r="AO530" s="4"/>
      <c r="AP530" s="4"/>
    </row>
    <row r="531" spans="39:42" x14ac:dyDescent="0.25">
      <c r="AO531" s="4"/>
      <c r="AP531" s="4"/>
    </row>
    <row r="532" spans="39:42" x14ac:dyDescent="0.25">
      <c r="AM532" s="4"/>
      <c r="AN532" s="4"/>
      <c r="AO532" s="4"/>
      <c r="AP532" s="4"/>
    </row>
    <row r="533" spans="39:42" x14ac:dyDescent="0.25">
      <c r="AO533" s="4"/>
      <c r="AP533" s="4"/>
    </row>
    <row r="534" spans="39:42" x14ac:dyDescent="0.25">
      <c r="AM534" s="4"/>
      <c r="AN534" s="4"/>
      <c r="AO534" s="4"/>
      <c r="AP534" s="4"/>
    </row>
    <row r="535" spans="39:42" x14ac:dyDescent="0.25">
      <c r="AO535" s="4"/>
      <c r="AP535" s="4"/>
    </row>
    <row r="536" spans="39:42" x14ac:dyDescent="0.25">
      <c r="AO536" s="4"/>
      <c r="AP536" s="4"/>
    </row>
    <row r="537" spans="39:42" x14ac:dyDescent="0.25">
      <c r="AO537" s="4"/>
      <c r="AP537" s="4"/>
    </row>
    <row r="538" spans="39:42" x14ac:dyDescent="0.25">
      <c r="AM538" s="4"/>
      <c r="AN538" s="4"/>
      <c r="AO538" s="4"/>
      <c r="AP538" s="4"/>
    </row>
    <row r="539" spans="39:42" x14ac:dyDescent="0.25">
      <c r="AO539" s="4"/>
      <c r="AP539" s="4"/>
    </row>
    <row r="540" spans="39:42" x14ac:dyDescent="0.25">
      <c r="AO540" s="4"/>
      <c r="AP540" s="4"/>
    </row>
    <row r="541" spans="39:42" x14ac:dyDescent="0.25">
      <c r="AM541" s="4"/>
      <c r="AN541" s="4"/>
      <c r="AO541" s="4"/>
      <c r="AP541" s="4"/>
    </row>
    <row r="542" spans="39:42" x14ac:dyDescent="0.25">
      <c r="AO542" s="4"/>
      <c r="AP542" s="4"/>
    </row>
    <row r="543" spans="39:42" x14ac:dyDescent="0.25">
      <c r="AO543" s="4"/>
      <c r="AP543" s="4"/>
    </row>
    <row r="544" spans="39:42" x14ac:dyDescent="0.25">
      <c r="AM544" s="4"/>
      <c r="AN544" s="4"/>
      <c r="AO544" s="4"/>
      <c r="AP544" s="4"/>
    </row>
    <row r="545" spans="39:42" x14ac:dyDescent="0.25">
      <c r="AO545" s="4"/>
      <c r="AP545" s="4"/>
    </row>
    <row r="546" spans="39:42" x14ac:dyDescent="0.25">
      <c r="AO546" s="4"/>
      <c r="AP546" s="4"/>
    </row>
    <row r="547" spans="39:42" x14ac:dyDescent="0.25">
      <c r="AO547" s="4"/>
      <c r="AP547" s="4"/>
    </row>
    <row r="548" spans="39:42" x14ac:dyDescent="0.25">
      <c r="AO548" s="4"/>
      <c r="AP548" s="4"/>
    </row>
    <row r="549" spans="39:42" x14ac:dyDescent="0.25">
      <c r="AO549" s="4"/>
      <c r="AP549" s="4"/>
    </row>
    <row r="550" spans="39:42" x14ac:dyDescent="0.25">
      <c r="AO550" s="4"/>
      <c r="AP550" s="4"/>
    </row>
    <row r="551" spans="39:42" x14ac:dyDescent="0.25">
      <c r="AO551" s="4"/>
      <c r="AP551" s="4"/>
    </row>
    <row r="552" spans="39:42" x14ac:dyDescent="0.25">
      <c r="AM552" s="4"/>
      <c r="AN552" s="4"/>
      <c r="AO552" s="4"/>
      <c r="AP552" s="4"/>
    </row>
    <row r="553" spans="39:42" x14ac:dyDescent="0.25">
      <c r="AO553" s="4"/>
      <c r="AP553" s="4"/>
    </row>
    <row r="554" spans="39:42" x14ac:dyDescent="0.25">
      <c r="AO554" s="4"/>
      <c r="AP554" s="4"/>
    </row>
    <row r="555" spans="39:42" x14ac:dyDescent="0.25">
      <c r="AO555" s="4"/>
      <c r="AP555" s="4"/>
    </row>
    <row r="556" spans="39:42" x14ac:dyDescent="0.25">
      <c r="AO556" s="4"/>
      <c r="AP556" s="4"/>
    </row>
    <row r="557" spans="39:42" x14ac:dyDescent="0.25">
      <c r="AM557" s="4"/>
      <c r="AN557" s="4"/>
      <c r="AO557" s="4"/>
      <c r="AP557" s="4"/>
    </row>
    <row r="558" spans="39:42" x14ac:dyDescent="0.25">
      <c r="AO558" s="4"/>
      <c r="AP558" s="4"/>
    </row>
    <row r="559" spans="39:42" x14ac:dyDescent="0.25">
      <c r="AO559" s="4"/>
      <c r="AP559" s="4"/>
    </row>
    <row r="560" spans="39:42" x14ac:dyDescent="0.25">
      <c r="AO560" s="4"/>
      <c r="AP560" s="4"/>
    </row>
    <row r="561" spans="39:42" x14ac:dyDescent="0.25">
      <c r="AO561" s="4"/>
      <c r="AP561" s="4"/>
    </row>
    <row r="562" spans="39:42" x14ac:dyDescent="0.25">
      <c r="AM562" s="4"/>
      <c r="AN562" s="4"/>
      <c r="AO562" s="4"/>
      <c r="AP562" s="4"/>
    </row>
    <row r="563" spans="39:42" x14ac:dyDescent="0.25">
      <c r="AO563" s="4"/>
      <c r="AP563" s="4"/>
    </row>
    <row r="564" spans="39:42" x14ac:dyDescent="0.25">
      <c r="AO564" s="4"/>
      <c r="AP564" s="4"/>
    </row>
    <row r="565" spans="39:42" x14ac:dyDescent="0.25">
      <c r="AO565" s="4"/>
      <c r="AP565" s="4"/>
    </row>
    <row r="566" spans="39:42" x14ac:dyDescent="0.25">
      <c r="AO566" s="4"/>
      <c r="AP566" s="4"/>
    </row>
    <row r="567" spans="39:42" x14ac:dyDescent="0.25">
      <c r="AO567" s="4"/>
      <c r="AP567" s="4"/>
    </row>
    <row r="568" spans="39:42" x14ac:dyDescent="0.25">
      <c r="AO568" s="4"/>
      <c r="AP568" s="4"/>
    </row>
    <row r="569" spans="39:42" x14ac:dyDescent="0.25">
      <c r="AO569" s="4"/>
      <c r="AP569" s="4"/>
    </row>
    <row r="570" spans="39:42" x14ac:dyDescent="0.25">
      <c r="AM570" s="4"/>
      <c r="AN570" s="4"/>
      <c r="AO570" s="4"/>
      <c r="AP570" s="4"/>
    </row>
    <row r="571" spans="39:42" x14ac:dyDescent="0.25">
      <c r="AO571" s="4"/>
      <c r="AP571" s="4"/>
    </row>
    <row r="572" spans="39:42" x14ac:dyDescent="0.25">
      <c r="AO572" s="4"/>
      <c r="AP572" s="4"/>
    </row>
    <row r="573" spans="39:42" x14ac:dyDescent="0.25">
      <c r="AO573" s="4"/>
      <c r="AP573" s="4"/>
    </row>
    <row r="574" spans="39:42" x14ac:dyDescent="0.25">
      <c r="AO574" s="4"/>
      <c r="AP574" s="4"/>
    </row>
    <row r="575" spans="39:42" x14ac:dyDescent="0.25">
      <c r="AO575" s="4"/>
      <c r="AP575" s="4"/>
    </row>
    <row r="576" spans="39:42" x14ac:dyDescent="0.25">
      <c r="AO576" s="4"/>
      <c r="AP576" s="4"/>
    </row>
    <row r="577" spans="39:42" x14ac:dyDescent="0.25">
      <c r="AO577" s="4"/>
      <c r="AP577" s="4"/>
    </row>
    <row r="578" spans="39:42" x14ac:dyDescent="0.25">
      <c r="AM578" s="4"/>
      <c r="AN578" s="4"/>
      <c r="AO578" s="4"/>
      <c r="AP578" s="4"/>
    </row>
    <row r="579" spans="39:42" x14ac:dyDescent="0.25">
      <c r="AO579" s="4"/>
      <c r="AP579" s="4"/>
    </row>
    <row r="580" spans="39:42" x14ac:dyDescent="0.25">
      <c r="AO580" s="4"/>
      <c r="AP580" s="4"/>
    </row>
    <row r="581" spans="39:42" x14ac:dyDescent="0.25">
      <c r="AO581" s="4"/>
      <c r="AP581" s="4"/>
    </row>
    <row r="582" spans="39:42" x14ac:dyDescent="0.25">
      <c r="AO582" s="4"/>
      <c r="AP582" s="4"/>
    </row>
    <row r="583" spans="39:42" x14ac:dyDescent="0.25">
      <c r="AO583" s="4"/>
      <c r="AP583" s="4"/>
    </row>
    <row r="584" spans="39:42" x14ac:dyDescent="0.25">
      <c r="AO584" s="4"/>
      <c r="AP584" s="4"/>
    </row>
    <row r="585" spans="39:42" x14ac:dyDescent="0.25">
      <c r="AO585" s="4"/>
      <c r="AP585" s="4"/>
    </row>
    <row r="586" spans="39:42" x14ac:dyDescent="0.25">
      <c r="AO586" s="4"/>
      <c r="AP586" s="4"/>
    </row>
    <row r="587" spans="39:42" x14ac:dyDescent="0.25">
      <c r="AO587" s="4"/>
      <c r="AP587" s="4"/>
    </row>
    <row r="588" spans="39:42" x14ac:dyDescent="0.25">
      <c r="AO588" s="4"/>
      <c r="AP588" s="4"/>
    </row>
    <row r="589" spans="39:42" x14ac:dyDescent="0.25">
      <c r="AM589" s="4"/>
      <c r="AN589" s="4"/>
      <c r="AO589" s="4"/>
      <c r="AP589" s="4"/>
    </row>
    <row r="590" spans="39:42" x14ac:dyDescent="0.25">
      <c r="AO590" s="4"/>
      <c r="AP590" s="4"/>
    </row>
    <row r="591" spans="39:42" x14ac:dyDescent="0.25">
      <c r="AO591" s="4"/>
      <c r="AP591" s="4"/>
    </row>
    <row r="592" spans="39:42" x14ac:dyDescent="0.25">
      <c r="AM592" s="4"/>
      <c r="AN592" s="4"/>
      <c r="AO592" s="4"/>
      <c r="AP592" s="4"/>
    </row>
    <row r="593" spans="39:42" x14ac:dyDescent="0.25">
      <c r="AO593" s="4"/>
      <c r="AP593" s="4"/>
    </row>
    <row r="594" spans="39:42" x14ac:dyDescent="0.25">
      <c r="AO594" s="4"/>
      <c r="AP594" s="4"/>
    </row>
    <row r="595" spans="39:42" x14ac:dyDescent="0.25">
      <c r="AO595" s="4"/>
      <c r="AP595" s="4"/>
    </row>
    <row r="596" spans="39:42" x14ac:dyDescent="0.25">
      <c r="AO596" s="4"/>
      <c r="AP596" s="4"/>
    </row>
    <row r="597" spans="39:42" x14ac:dyDescent="0.25">
      <c r="AO597" s="4"/>
      <c r="AP597" s="4"/>
    </row>
    <row r="598" spans="39:42" x14ac:dyDescent="0.25">
      <c r="AM598" s="4"/>
      <c r="AN598" s="4"/>
      <c r="AO598" s="4"/>
      <c r="AP598" s="4"/>
    </row>
    <row r="599" spans="39:42" x14ac:dyDescent="0.25">
      <c r="AM599" s="4"/>
      <c r="AN599" s="4"/>
      <c r="AO599" s="4"/>
      <c r="AP599" s="4"/>
    </row>
    <row r="600" spans="39:42" x14ac:dyDescent="0.25">
      <c r="AO600" s="4"/>
      <c r="AP600" s="4"/>
    </row>
    <row r="601" spans="39:42" x14ac:dyDescent="0.25">
      <c r="AM601" s="4"/>
      <c r="AN601" s="4"/>
      <c r="AO601" s="4"/>
      <c r="AP601" s="4"/>
    </row>
    <row r="602" spans="39:42" x14ac:dyDescent="0.25">
      <c r="AM602" s="4"/>
      <c r="AN602" s="4"/>
      <c r="AO602" s="4"/>
      <c r="AP602" s="4"/>
    </row>
    <row r="603" spans="39:42" x14ac:dyDescent="0.25">
      <c r="AO603" s="4"/>
      <c r="AP603" s="4"/>
    </row>
    <row r="604" spans="39:42" x14ac:dyDescent="0.25">
      <c r="AO604" s="4"/>
      <c r="AP604" s="4"/>
    </row>
    <row r="605" spans="39:42" x14ac:dyDescent="0.25">
      <c r="AO605" s="4"/>
      <c r="AP605" s="4"/>
    </row>
    <row r="606" spans="39:42" x14ac:dyDescent="0.25">
      <c r="AO606" s="4"/>
      <c r="AP606" s="4"/>
    </row>
    <row r="607" spans="39:42" x14ac:dyDescent="0.25">
      <c r="AO607" s="4"/>
      <c r="AP607" s="4"/>
    </row>
    <row r="608" spans="39:42" x14ac:dyDescent="0.25">
      <c r="AM608" s="4"/>
      <c r="AN608" s="4"/>
      <c r="AO608" s="4"/>
      <c r="AP608" s="4"/>
    </row>
    <row r="609" spans="39:42" x14ac:dyDescent="0.25">
      <c r="AO609" s="4"/>
      <c r="AP609" s="4"/>
    </row>
    <row r="610" spans="39:42" x14ac:dyDescent="0.25">
      <c r="AO610" s="4"/>
      <c r="AP610" s="4"/>
    </row>
    <row r="611" spans="39:42" x14ac:dyDescent="0.25">
      <c r="AO611" s="4"/>
      <c r="AP611" s="4"/>
    </row>
    <row r="612" spans="39:42" x14ac:dyDescent="0.25">
      <c r="AM612" s="4"/>
      <c r="AN612" s="4"/>
      <c r="AO612" s="4"/>
      <c r="AP612" s="4"/>
    </row>
    <row r="613" spans="39:42" x14ac:dyDescent="0.25">
      <c r="AO613" s="4"/>
      <c r="AP613" s="4"/>
    </row>
    <row r="614" spans="39:42" x14ac:dyDescent="0.25">
      <c r="AO614" s="4"/>
      <c r="AP614" s="4"/>
    </row>
    <row r="615" spans="39:42" x14ac:dyDescent="0.25">
      <c r="AO615" s="4"/>
      <c r="AP615" s="4"/>
    </row>
    <row r="616" spans="39:42" x14ac:dyDescent="0.25">
      <c r="AO616" s="4"/>
      <c r="AP616" s="4"/>
    </row>
    <row r="617" spans="39:42" x14ac:dyDescent="0.25">
      <c r="AO617" s="4"/>
      <c r="AP617" s="4"/>
    </row>
    <row r="618" spans="39:42" x14ac:dyDescent="0.25">
      <c r="AM618" s="4"/>
      <c r="AN618" s="4"/>
      <c r="AO618" s="4"/>
      <c r="AP618" s="4"/>
    </row>
    <row r="619" spans="39:42" x14ac:dyDescent="0.25">
      <c r="AO619" s="4"/>
      <c r="AP619" s="4"/>
    </row>
    <row r="620" spans="39:42" x14ac:dyDescent="0.25">
      <c r="AO620" s="4"/>
      <c r="AP620" s="4"/>
    </row>
    <row r="621" spans="39:42" x14ac:dyDescent="0.25">
      <c r="AO621" s="4"/>
      <c r="AP621" s="4"/>
    </row>
    <row r="622" spans="39:42" x14ac:dyDescent="0.25">
      <c r="AO622" s="4"/>
      <c r="AP622" s="4"/>
    </row>
    <row r="623" spans="39:42" x14ac:dyDescent="0.25">
      <c r="AO623" s="4"/>
      <c r="AP623" s="4"/>
    </row>
    <row r="624" spans="39:42" x14ac:dyDescent="0.25">
      <c r="AO624" s="4"/>
      <c r="AP624" s="4"/>
    </row>
    <row r="625" spans="41:42" x14ac:dyDescent="0.25">
      <c r="AO625" s="4"/>
      <c r="AP625" s="4"/>
    </row>
    <row r="626" spans="41:42" x14ac:dyDescent="0.25">
      <c r="AO626" s="4"/>
      <c r="AP626" s="4"/>
    </row>
    <row r="627" spans="41:42" x14ac:dyDescent="0.25">
      <c r="AO627" s="4"/>
      <c r="AP627" s="4"/>
    </row>
    <row r="628" spans="41:42" x14ac:dyDescent="0.25">
      <c r="AO628" s="4"/>
      <c r="AP628" s="4"/>
    </row>
    <row r="629" spans="41:42" x14ac:dyDescent="0.25">
      <c r="AO629" s="4"/>
      <c r="AP629" s="4"/>
    </row>
    <row r="630" spans="41:42" x14ac:dyDescent="0.25">
      <c r="AO630" s="4"/>
      <c r="AP630" s="4"/>
    </row>
    <row r="631" spans="41:42" x14ac:dyDescent="0.25">
      <c r="AO631" s="4"/>
      <c r="AP631" s="4"/>
    </row>
    <row r="632" spans="41:42" x14ac:dyDescent="0.25">
      <c r="AO632" s="4"/>
      <c r="AP632" s="4"/>
    </row>
    <row r="633" spans="41:42" x14ac:dyDescent="0.25">
      <c r="AO633" s="4"/>
      <c r="AP633" s="4"/>
    </row>
    <row r="634" spans="41:42" x14ac:dyDescent="0.25">
      <c r="AO634" s="4"/>
      <c r="AP634" s="4"/>
    </row>
    <row r="635" spans="41:42" x14ac:dyDescent="0.25">
      <c r="AO635" s="4"/>
      <c r="AP635" s="4"/>
    </row>
    <row r="636" spans="41:42" x14ac:dyDescent="0.25">
      <c r="AO636" s="4"/>
      <c r="AP636" s="4"/>
    </row>
    <row r="637" spans="41:42" x14ac:dyDescent="0.25">
      <c r="AO637" s="4"/>
      <c r="AP637" s="4"/>
    </row>
    <row r="638" spans="41:42" x14ac:dyDescent="0.25">
      <c r="AO638" s="4"/>
      <c r="AP638" s="4"/>
    </row>
    <row r="639" spans="41:42" x14ac:dyDescent="0.25">
      <c r="AO639" s="4"/>
      <c r="AP639" s="4"/>
    </row>
    <row r="640" spans="41:42" x14ac:dyDescent="0.25">
      <c r="AO640" s="4"/>
      <c r="AP640" s="4"/>
    </row>
    <row r="641" spans="39:42" x14ac:dyDescent="0.25">
      <c r="AO641" s="4"/>
      <c r="AP641" s="4"/>
    </row>
    <row r="642" spans="39:42" x14ac:dyDescent="0.25">
      <c r="AO642" s="4"/>
      <c r="AP642" s="4"/>
    </row>
    <row r="643" spans="39:42" x14ac:dyDescent="0.25">
      <c r="AO643" s="4"/>
      <c r="AP643" s="4"/>
    </row>
    <row r="644" spans="39:42" x14ac:dyDescent="0.25">
      <c r="AO644" s="4"/>
      <c r="AP644" s="4"/>
    </row>
    <row r="645" spans="39:42" x14ac:dyDescent="0.25">
      <c r="AO645" s="4"/>
      <c r="AP645" s="4"/>
    </row>
    <row r="646" spans="39:42" x14ac:dyDescent="0.25">
      <c r="AO646" s="4"/>
      <c r="AP646" s="4"/>
    </row>
    <row r="647" spans="39:42" x14ac:dyDescent="0.25">
      <c r="AM647" s="4"/>
      <c r="AN647" s="4"/>
      <c r="AO647" s="4"/>
      <c r="AP647" s="4"/>
    </row>
    <row r="648" spans="39:42" x14ac:dyDescent="0.25">
      <c r="AO648" s="4"/>
      <c r="AP648" s="4"/>
    </row>
    <row r="649" spans="39:42" x14ac:dyDescent="0.25">
      <c r="AO649" s="4"/>
      <c r="AP649" s="4"/>
    </row>
    <row r="650" spans="39:42" x14ac:dyDescent="0.25">
      <c r="AO650" s="4"/>
      <c r="AP650" s="4"/>
    </row>
    <row r="651" spans="39:42" x14ac:dyDescent="0.25">
      <c r="AM651" s="4"/>
      <c r="AN651" s="4"/>
      <c r="AO651" s="4"/>
      <c r="AP651" s="4"/>
    </row>
    <row r="652" spans="39:42" x14ac:dyDescent="0.25">
      <c r="AO652" s="4"/>
      <c r="AP652" s="4"/>
    </row>
    <row r="653" spans="39:42" x14ac:dyDescent="0.25">
      <c r="AO653" s="4"/>
      <c r="AP653" s="4"/>
    </row>
    <row r="654" spans="39:42" x14ac:dyDescent="0.25">
      <c r="AM654" s="4"/>
      <c r="AN654" s="4"/>
      <c r="AO654" s="4"/>
      <c r="AP654" s="4"/>
    </row>
    <row r="655" spans="39:42" x14ac:dyDescent="0.25">
      <c r="AO655" s="4"/>
      <c r="AP655" s="4"/>
    </row>
    <row r="656" spans="39:42" x14ac:dyDescent="0.25">
      <c r="AO656" s="4"/>
      <c r="AP656" s="4"/>
    </row>
    <row r="657" spans="39:42" x14ac:dyDescent="0.25">
      <c r="AO657" s="4"/>
      <c r="AP657" s="4"/>
    </row>
    <row r="658" spans="39:42" x14ac:dyDescent="0.25">
      <c r="AO658" s="4"/>
      <c r="AP658" s="4"/>
    </row>
    <row r="659" spans="39:42" x14ac:dyDescent="0.25">
      <c r="AO659" s="4"/>
      <c r="AP659" s="4"/>
    </row>
    <row r="660" spans="39:42" x14ac:dyDescent="0.25">
      <c r="AO660" s="4"/>
      <c r="AP660" s="4"/>
    </row>
    <row r="661" spans="39:42" x14ac:dyDescent="0.25">
      <c r="AM661" s="4"/>
      <c r="AN661" s="4"/>
      <c r="AO661" s="4"/>
      <c r="AP661" s="4"/>
    </row>
    <row r="662" spans="39:42" x14ac:dyDescent="0.25">
      <c r="AO662" s="4"/>
      <c r="AP662" s="4"/>
    </row>
    <row r="663" spans="39:42" x14ac:dyDescent="0.25">
      <c r="AM663" s="4"/>
      <c r="AN663" s="4"/>
      <c r="AO663" s="4"/>
      <c r="AP663" s="4"/>
    </row>
    <row r="664" spans="39:42" x14ac:dyDescent="0.25">
      <c r="AO664" s="4"/>
      <c r="AP664" s="4"/>
    </row>
    <row r="665" spans="39:42" x14ac:dyDescent="0.25">
      <c r="AO665" s="4"/>
      <c r="AP665" s="4"/>
    </row>
    <row r="666" spans="39:42" x14ac:dyDescent="0.25">
      <c r="AO666" s="4"/>
      <c r="AP666" s="4"/>
    </row>
    <row r="667" spans="39:42" x14ac:dyDescent="0.25">
      <c r="AO667" s="4"/>
      <c r="AP667" s="4"/>
    </row>
    <row r="668" spans="39:42" x14ac:dyDescent="0.25">
      <c r="AM668" s="4"/>
      <c r="AN668" s="4"/>
      <c r="AO668" s="4"/>
      <c r="AP668" s="4"/>
    </row>
    <row r="669" spans="39:42" x14ac:dyDescent="0.25">
      <c r="AO669" s="4"/>
      <c r="AP669" s="4"/>
    </row>
    <row r="670" spans="39:42" x14ac:dyDescent="0.25">
      <c r="AO670" s="4"/>
      <c r="AP670" s="4"/>
    </row>
    <row r="671" spans="39:42" x14ac:dyDescent="0.25">
      <c r="AO671" s="4"/>
      <c r="AP671" s="4"/>
    </row>
    <row r="672" spans="39:42" x14ac:dyDescent="0.25">
      <c r="AO672" s="4"/>
      <c r="AP672" s="4"/>
    </row>
    <row r="673" spans="39:42" x14ac:dyDescent="0.25">
      <c r="AO673" s="4"/>
      <c r="AP673" s="4"/>
    </row>
    <row r="674" spans="39:42" x14ac:dyDescent="0.25">
      <c r="AO674" s="4"/>
      <c r="AP674" s="4"/>
    </row>
    <row r="675" spans="39:42" x14ac:dyDescent="0.25">
      <c r="AO675" s="4"/>
      <c r="AP675" s="4"/>
    </row>
    <row r="676" spans="39:42" x14ac:dyDescent="0.25">
      <c r="AO676" s="4"/>
      <c r="AP676" s="4"/>
    </row>
    <row r="677" spans="39:42" x14ac:dyDescent="0.25">
      <c r="AM677" s="4"/>
      <c r="AN677" s="4"/>
      <c r="AO677" s="4"/>
      <c r="AP677" s="4"/>
    </row>
    <row r="678" spans="39:42" x14ac:dyDescent="0.25">
      <c r="AO678" s="4"/>
      <c r="AP678" s="4"/>
    </row>
    <row r="679" spans="39:42" x14ac:dyDescent="0.25">
      <c r="AO679" s="4"/>
      <c r="AP679" s="4"/>
    </row>
    <row r="680" spans="39:42" x14ac:dyDescent="0.25">
      <c r="AO680" s="4"/>
      <c r="AP680" s="4"/>
    </row>
    <row r="681" spans="39:42" x14ac:dyDescent="0.25">
      <c r="AO681" s="4"/>
      <c r="AP681" s="4"/>
    </row>
    <row r="682" spans="39:42" x14ac:dyDescent="0.25">
      <c r="AO682" s="4"/>
      <c r="AP682" s="4"/>
    </row>
    <row r="683" spans="39:42" x14ac:dyDescent="0.25">
      <c r="AO683" s="4"/>
      <c r="AP683" s="4"/>
    </row>
    <row r="684" spans="39:42" x14ac:dyDescent="0.25">
      <c r="AO684" s="4"/>
      <c r="AP684" s="4"/>
    </row>
    <row r="685" spans="39:42" x14ac:dyDescent="0.25">
      <c r="AO685" s="4"/>
      <c r="AP685" s="4"/>
    </row>
    <row r="686" spans="39:42" x14ac:dyDescent="0.25">
      <c r="AO686" s="4"/>
      <c r="AP686" s="4"/>
    </row>
    <row r="687" spans="39:42" x14ac:dyDescent="0.25">
      <c r="AO687" s="4"/>
      <c r="AP687" s="4"/>
    </row>
    <row r="688" spans="39:42" x14ac:dyDescent="0.25">
      <c r="AM688" s="4"/>
      <c r="AN688" s="4"/>
      <c r="AO688" s="4"/>
      <c r="AP688" s="4"/>
    </row>
    <row r="689" spans="39:42" x14ac:dyDescent="0.25">
      <c r="AO689" s="4"/>
      <c r="AP689" s="4"/>
    </row>
    <row r="690" spans="39:42" x14ac:dyDescent="0.25">
      <c r="AO690" s="4"/>
      <c r="AP690" s="4"/>
    </row>
    <row r="691" spans="39:42" x14ac:dyDescent="0.25">
      <c r="AM691" s="4"/>
      <c r="AN691" s="4"/>
      <c r="AO691" s="4"/>
      <c r="AP691" s="4"/>
    </row>
    <row r="692" spans="39:42" x14ac:dyDescent="0.25">
      <c r="AO692" s="4"/>
      <c r="AP692" s="4"/>
    </row>
    <row r="693" spans="39:42" x14ac:dyDescent="0.25">
      <c r="AO693" s="4"/>
      <c r="AP693" s="4"/>
    </row>
    <row r="694" spans="39:42" x14ac:dyDescent="0.25">
      <c r="AO694" s="4"/>
      <c r="AP694" s="4"/>
    </row>
    <row r="695" spans="39:42" x14ac:dyDescent="0.25">
      <c r="AO695" s="4"/>
      <c r="AP695" s="4"/>
    </row>
    <row r="696" spans="39:42" x14ac:dyDescent="0.25">
      <c r="AO696" s="4"/>
      <c r="AP696" s="4"/>
    </row>
    <row r="697" spans="39:42" x14ac:dyDescent="0.25">
      <c r="AM697" s="4"/>
      <c r="AN697" s="4"/>
      <c r="AO697" s="4"/>
      <c r="AP697" s="4"/>
    </row>
    <row r="698" spans="39:42" x14ac:dyDescent="0.25">
      <c r="AO698" s="4"/>
      <c r="AP698" s="4"/>
    </row>
    <row r="699" spans="39:42" x14ac:dyDescent="0.25">
      <c r="AO699" s="4"/>
      <c r="AP699" s="4"/>
    </row>
    <row r="700" spans="39:42" x14ac:dyDescent="0.25">
      <c r="AO700" s="4"/>
      <c r="AP700" s="4"/>
    </row>
    <row r="701" spans="39:42" x14ac:dyDescent="0.25">
      <c r="AM701" s="4"/>
      <c r="AN701" s="4"/>
      <c r="AO701" s="4"/>
      <c r="AP701" s="4"/>
    </row>
    <row r="702" spans="39:42" x14ac:dyDescent="0.25">
      <c r="AO702" s="4"/>
      <c r="AP702" s="4"/>
    </row>
    <row r="703" spans="39:42" x14ac:dyDescent="0.25">
      <c r="AO703" s="4"/>
      <c r="AP703" s="4"/>
    </row>
    <row r="704" spans="39:42" x14ac:dyDescent="0.25">
      <c r="AO704" s="4"/>
      <c r="AP704" s="4"/>
    </row>
    <row r="705" spans="39:42" x14ac:dyDescent="0.25">
      <c r="AO705" s="4"/>
      <c r="AP705" s="4"/>
    </row>
    <row r="706" spans="39:42" x14ac:dyDescent="0.25">
      <c r="AO706" s="4"/>
      <c r="AP706" s="4"/>
    </row>
    <row r="707" spans="39:42" x14ac:dyDescent="0.25">
      <c r="AO707" s="4"/>
      <c r="AP707" s="4"/>
    </row>
    <row r="708" spans="39:42" x14ac:dyDescent="0.25">
      <c r="AO708" s="4"/>
      <c r="AP708" s="4"/>
    </row>
    <row r="709" spans="39:42" x14ac:dyDescent="0.25">
      <c r="AO709" s="4"/>
      <c r="AP709" s="4"/>
    </row>
    <row r="710" spans="39:42" x14ac:dyDescent="0.25">
      <c r="AM710" s="4"/>
      <c r="AN710" s="4"/>
      <c r="AO710" s="4"/>
      <c r="AP710" s="4"/>
    </row>
    <row r="711" spans="39:42" x14ac:dyDescent="0.25">
      <c r="AO711" s="4"/>
      <c r="AP711" s="4"/>
    </row>
    <row r="712" spans="39:42" x14ac:dyDescent="0.25">
      <c r="AO712" s="4"/>
      <c r="AP712" s="4"/>
    </row>
    <row r="713" spans="39:42" x14ac:dyDescent="0.25">
      <c r="AO713" s="4"/>
      <c r="AP713" s="4"/>
    </row>
    <row r="714" spans="39:42" x14ac:dyDescent="0.25">
      <c r="AO714" s="4"/>
      <c r="AP714" s="4"/>
    </row>
    <row r="715" spans="39:42" x14ac:dyDescent="0.25">
      <c r="AO715" s="4"/>
      <c r="AP715" s="4"/>
    </row>
    <row r="716" spans="39:42" x14ac:dyDescent="0.25">
      <c r="AO716" s="4"/>
      <c r="AP716" s="4"/>
    </row>
    <row r="717" spans="39:42" x14ac:dyDescent="0.25">
      <c r="AO717" s="4"/>
      <c r="AP717" s="4"/>
    </row>
    <row r="718" spans="39:42" x14ac:dyDescent="0.25">
      <c r="AO718" s="4"/>
      <c r="AP718" s="4"/>
    </row>
    <row r="719" spans="39:42" x14ac:dyDescent="0.25">
      <c r="AM719" s="4"/>
      <c r="AN719" s="4"/>
      <c r="AO719" s="4"/>
      <c r="AP719" s="4"/>
    </row>
    <row r="720" spans="39:42" x14ac:dyDescent="0.25">
      <c r="AO720" s="4"/>
      <c r="AP720" s="4"/>
    </row>
    <row r="721" spans="39:42" x14ac:dyDescent="0.25">
      <c r="AO721" s="4"/>
      <c r="AP721" s="4"/>
    </row>
    <row r="722" spans="39:42" x14ac:dyDescent="0.25">
      <c r="AM722" s="4"/>
      <c r="AN722" s="4"/>
      <c r="AO722" s="4"/>
      <c r="AP722" s="4"/>
    </row>
    <row r="723" spans="39:42" x14ac:dyDescent="0.25">
      <c r="AO723" s="4"/>
      <c r="AP723" s="4"/>
    </row>
    <row r="724" spans="39:42" x14ac:dyDescent="0.25">
      <c r="AM724" s="4"/>
      <c r="AN724" s="4"/>
      <c r="AO724" s="4"/>
      <c r="AP724" s="4"/>
    </row>
    <row r="725" spans="39:42" x14ac:dyDescent="0.25">
      <c r="AO725" s="4"/>
      <c r="AP725" s="4"/>
    </row>
    <row r="726" spans="39:42" x14ac:dyDescent="0.25">
      <c r="AO726" s="4"/>
      <c r="AP726" s="4"/>
    </row>
    <row r="727" spans="39:42" x14ac:dyDescent="0.25">
      <c r="AO727" s="4"/>
      <c r="AP727" s="4"/>
    </row>
    <row r="728" spans="39:42" x14ac:dyDescent="0.25">
      <c r="AO728" s="4"/>
      <c r="AP728" s="4"/>
    </row>
    <row r="729" spans="39:42" x14ac:dyDescent="0.25">
      <c r="AO729" s="4"/>
      <c r="AP729" s="4"/>
    </row>
    <row r="730" spans="39:42" x14ac:dyDescent="0.25">
      <c r="AO730" s="4"/>
      <c r="AP730" s="4"/>
    </row>
    <row r="731" spans="39:42" x14ac:dyDescent="0.25">
      <c r="AO731" s="4"/>
      <c r="AP731" s="4"/>
    </row>
    <row r="732" spans="39:42" x14ac:dyDescent="0.25">
      <c r="AO732" s="4"/>
      <c r="AP732" s="4"/>
    </row>
    <row r="733" spans="39:42" x14ac:dyDescent="0.25">
      <c r="AO733" s="4"/>
      <c r="AP733" s="4"/>
    </row>
    <row r="734" spans="39:42" x14ac:dyDescent="0.25">
      <c r="AO734" s="4"/>
      <c r="AP734" s="4"/>
    </row>
    <row r="735" spans="39:42" x14ac:dyDescent="0.25">
      <c r="AM735" s="4"/>
      <c r="AN735" s="4"/>
      <c r="AO735" s="4"/>
      <c r="AP735" s="4"/>
    </row>
    <row r="736" spans="39:42" x14ac:dyDescent="0.25">
      <c r="AO736" s="4"/>
      <c r="AP736" s="4"/>
    </row>
    <row r="737" spans="39:42" x14ac:dyDescent="0.25">
      <c r="AO737" s="4"/>
      <c r="AP737" s="4"/>
    </row>
    <row r="738" spans="39:42" x14ac:dyDescent="0.25">
      <c r="AO738" s="4"/>
      <c r="AP738" s="4"/>
    </row>
    <row r="739" spans="39:42" x14ac:dyDescent="0.25">
      <c r="AO739" s="4"/>
      <c r="AP739" s="4"/>
    </row>
    <row r="740" spans="39:42" x14ac:dyDescent="0.25">
      <c r="AO740" s="4"/>
      <c r="AP740" s="4"/>
    </row>
    <row r="741" spans="39:42" x14ac:dyDescent="0.25">
      <c r="AO741" s="4"/>
      <c r="AP741" s="4"/>
    </row>
    <row r="742" spans="39:42" x14ac:dyDescent="0.25">
      <c r="AO742" s="4"/>
      <c r="AP742" s="4"/>
    </row>
    <row r="743" spans="39:42" x14ac:dyDescent="0.25">
      <c r="AO743" s="4"/>
      <c r="AP743" s="4"/>
    </row>
    <row r="744" spans="39:42" x14ac:dyDescent="0.25">
      <c r="AO744" s="4"/>
      <c r="AP744" s="4"/>
    </row>
    <row r="745" spans="39:42" x14ac:dyDescent="0.25">
      <c r="AO745" s="4"/>
      <c r="AP745" s="4"/>
    </row>
    <row r="746" spans="39:42" x14ac:dyDescent="0.25">
      <c r="AO746" s="4"/>
      <c r="AP746" s="4"/>
    </row>
    <row r="747" spans="39:42" x14ac:dyDescent="0.25">
      <c r="AM747" s="4"/>
      <c r="AN747" s="4"/>
      <c r="AO747" s="4"/>
      <c r="AP747" s="4"/>
    </row>
    <row r="748" spans="39:42" x14ac:dyDescent="0.25">
      <c r="AO748" s="4"/>
      <c r="AP748" s="4"/>
    </row>
    <row r="749" spans="39:42" x14ac:dyDescent="0.25">
      <c r="AO749" s="4"/>
      <c r="AP749" s="4"/>
    </row>
    <row r="750" spans="39:42" x14ac:dyDescent="0.25">
      <c r="AO750" s="4"/>
      <c r="AP750" s="4"/>
    </row>
    <row r="751" spans="39:42" x14ac:dyDescent="0.25">
      <c r="AO751" s="4"/>
      <c r="AP751" s="4"/>
    </row>
    <row r="752" spans="39:42" x14ac:dyDescent="0.25">
      <c r="AO752" s="4"/>
      <c r="AP752" s="4"/>
    </row>
    <row r="753" spans="41:42" x14ac:dyDescent="0.25">
      <c r="AO753" s="4"/>
      <c r="AP753" s="4"/>
    </row>
    <row r="754" spans="41:42" x14ac:dyDescent="0.25">
      <c r="AO754" s="4"/>
      <c r="AP754" s="4"/>
    </row>
    <row r="755" spans="41:42" x14ac:dyDescent="0.25">
      <c r="AO755" s="4"/>
      <c r="AP755" s="4"/>
    </row>
    <row r="756" spans="41:42" x14ac:dyDescent="0.25">
      <c r="AO756" s="4"/>
      <c r="AP756" s="4"/>
    </row>
    <row r="757" spans="41:42" x14ac:dyDescent="0.25">
      <c r="AO757" s="4"/>
      <c r="AP757" s="4"/>
    </row>
    <row r="758" spans="41:42" x14ac:dyDescent="0.25">
      <c r="AO758" s="4"/>
      <c r="AP758" s="4"/>
    </row>
    <row r="759" spans="41:42" x14ac:dyDescent="0.25">
      <c r="AO759" s="4"/>
      <c r="AP759" s="4"/>
    </row>
    <row r="760" spans="41:42" x14ac:dyDescent="0.25">
      <c r="AO760" s="4"/>
      <c r="AP760" s="4"/>
    </row>
    <row r="761" spans="41:42" x14ac:dyDescent="0.25">
      <c r="AO761" s="4"/>
      <c r="AP761" s="4"/>
    </row>
    <row r="762" spans="41:42" x14ac:dyDescent="0.25">
      <c r="AO762" s="4"/>
      <c r="AP762" s="4"/>
    </row>
    <row r="763" spans="41:42" x14ac:dyDescent="0.25">
      <c r="AO763" s="4"/>
      <c r="AP763" s="4"/>
    </row>
    <row r="764" spans="41:42" x14ac:dyDescent="0.25">
      <c r="AO764" s="4"/>
      <c r="AP764" s="4"/>
    </row>
    <row r="765" spans="41:42" x14ac:dyDescent="0.25">
      <c r="AO765" s="4"/>
      <c r="AP765" s="4"/>
    </row>
    <row r="766" spans="41:42" x14ac:dyDescent="0.25">
      <c r="AO766" s="4"/>
      <c r="AP766" s="4"/>
    </row>
    <row r="767" spans="41:42" x14ac:dyDescent="0.25">
      <c r="AO767" s="4"/>
      <c r="AP767" s="4"/>
    </row>
    <row r="768" spans="41:42" x14ac:dyDescent="0.25">
      <c r="AO768" s="4"/>
      <c r="AP768" s="4"/>
    </row>
    <row r="769" spans="39:42" x14ac:dyDescent="0.25">
      <c r="AM769" s="4"/>
      <c r="AN769" s="4"/>
      <c r="AO769" s="4"/>
      <c r="AP769" s="4"/>
    </row>
    <row r="770" spans="39:42" x14ac:dyDescent="0.25">
      <c r="AO770" s="4"/>
      <c r="AP770" s="4"/>
    </row>
    <row r="771" spans="39:42" x14ac:dyDescent="0.25">
      <c r="AO771" s="4"/>
      <c r="AP771" s="4"/>
    </row>
    <row r="772" spans="39:42" x14ac:dyDescent="0.25">
      <c r="AO772" s="4"/>
      <c r="AP772" s="4"/>
    </row>
    <row r="773" spans="39:42" x14ac:dyDescent="0.25">
      <c r="AO773" s="4"/>
      <c r="AP773" s="4"/>
    </row>
    <row r="774" spans="39:42" x14ac:dyDescent="0.25">
      <c r="AM774" s="4"/>
      <c r="AN774" s="4"/>
      <c r="AO774" s="4"/>
      <c r="AP774" s="4"/>
    </row>
    <row r="775" spans="39:42" x14ac:dyDescent="0.25">
      <c r="AO775" s="4"/>
      <c r="AP775" s="4"/>
    </row>
    <row r="776" spans="39:42" x14ac:dyDescent="0.25">
      <c r="AM776" s="4"/>
      <c r="AN776" s="4"/>
      <c r="AO776" s="4"/>
      <c r="AP776" s="4"/>
    </row>
    <row r="777" spans="39:42" x14ac:dyDescent="0.25">
      <c r="AO777" s="4"/>
      <c r="AP777" s="4"/>
    </row>
    <row r="778" spans="39:42" x14ac:dyDescent="0.25">
      <c r="AO778" s="4"/>
      <c r="AP778" s="4"/>
    </row>
    <row r="779" spans="39:42" x14ac:dyDescent="0.25">
      <c r="AO779" s="4"/>
      <c r="AP779" s="4"/>
    </row>
    <row r="780" spans="39:42" x14ac:dyDescent="0.25">
      <c r="AM780" s="4"/>
      <c r="AN780" s="4"/>
      <c r="AO780" s="4"/>
      <c r="AP780" s="4"/>
    </row>
    <row r="781" spans="39:42" x14ac:dyDescent="0.25">
      <c r="AM781" s="4"/>
      <c r="AN781" s="4"/>
      <c r="AO781" s="4"/>
      <c r="AP781" s="4"/>
    </row>
    <row r="782" spans="39:42" x14ac:dyDescent="0.25">
      <c r="AO782" s="4"/>
      <c r="AP782" s="4"/>
    </row>
    <row r="783" spans="39:42" x14ac:dyDescent="0.25">
      <c r="AO783" s="4"/>
      <c r="AP783" s="4"/>
    </row>
    <row r="784" spans="39:42" x14ac:dyDescent="0.25">
      <c r="AO784" s="4"/>
      <c r="AP784" s="4"/>
    </row>
    <row r="785" spans="39:42" x14ac:dyDescent="0.25">
      <c r="AO785" s="4"/>
      <c r="AP785" s="4"/>
    </row>
    <row r="786" spans="39:42" x14ac:dyDescent="0.25">
      <c r="AO786" s="4"/>
      <c r="AP786" s="4"/>
    </row>
    <row r="787" spans="39:42" x14ac:dyDescent="0.25">
      <c r="AO787" s="4"/>
      <c r="AP787" s="4"/>
    </row>
    <row r="788" spans="39:42" x14ac:dyDescent="0.25">
      <c r="AM788" s="4"/>
      <c r="AN788" s="4"/>
      <c r="AO788" s="4"/>
      <c r="AP788" s="4"/>
    </row>
    <row r="789" spans="39:42" x14ac:dyDescent="0.25">
      <c r="AO789" s="4"/>
      <c r="AP789" s="4"/>
    </row>
    <row r="790" spans="39:42" x14ac:dyDescent="0.25">
      <c r="AO790" s="4"/>
      <c r="AP790" s="4"/>
    </row>
    <row r="791" spans="39:42" x14ac:dyDescent="0.25">
      <c r="AO791" s="4"/>
      <c r="AP791" s="4"/>
    </row>
    <row r="792" spans="39:42" x14ac:dyDescent="0.25">
      <c r="AM792" s="4"/>
      <c r="AN792" s="4"/>
      <c r="AO792" s="4"/>
      <c r="AP792" s="4"/>
    </row>
    <row r="793" spans="39:42" x14ac:dyDescent="0.25">
      <c r="AM793" s="4"/>
      <c r="AN793" s="4"/>
      <c r="AO793" s="4"/>
      <c r="AP793" s="4"/>
    </row>
    <row r="794" spans="39:42" x14ac:dyDescent="0.25">
      <c r="AO794" s="4"/>
      <c r="AP794" s="4"/>
    </row>
    <row r="795" spans="39:42" x14ac:dyDescent="0.25">
      <c r="AO795" s="4"/>
      <c r="AP795" s="4"/>
    </row>
    <row r="796" spans="39:42" x14ac:dyDescent="0.25">
      <c r="AO796" s="4"/>
      <c r="AP796" s="4"/>
    </row>
    <row r="797" spans="39:42" x14ac:dyDescent="0.25">
      <c r="AO797" s="4"/>
      <c r="AP797" s="4"/>
    </row>
    <row r="798" spans="39:42" x14ac:dyDescent="0.25">
      <c r="AO798" s="4"/>
      <c r="AP798" s="4"/>
    </row>
    <row r="799" spans="39:42" x14ac:dyDescent="0.25">
      <c r="AO799" s="4"/>
      <c r="AP799" s="4"/>
    </row>
    <row r="800" spans="39:42" x14ac:dyDescent="0.25">
      <c r="AO800" s="4"/>
      <c r="AP800" s="4"/>
    </row>
    <row r="801" spans="41:42" x14ac:dyDescent="0.25">
      <c r="AO801" s="4"/>
      <c r="AP801" s="4"/>
    </row>
    <row r="802" spans="41:42" x14ac:dyDescent="0.25">
      <c r="AO802" s="4"/>
      <c r="AP802" s="4"/>
    </row>
    <row r="803" spans="41:42" x14ac:dyDescent="0.25">
      <c r="AO803" s="4"/>
      <c r="AP803" s="4"/>
    </row>
    <row r="804" spans="41:42" x14ac:dyDescent="0.25">
      <c r="AO804" s="4"/>
      <c r="AP804" s="4"/>
    </row>
    <row r="805" spans="41:42" x14ac:dyDescent="0.25">
      <c r="AO805" s="4"/>
      <c r="AP805" s="4"/>
    </row>
    <row r="806" spans="41:42" x14ac:dyDescent="0.25">
      <c r="AO806" s="4"/>
      <c r="AP806" s="4"/>
    </row>
    <row r="807" spans="41:42" x14ac:dyDescent="0.25">
      <c r="AO807" s="4"/>
      <c r="AP807" s="4"/>
    </row>
    <row r="808" spans="41:42" x14ac:dyDescent="0.25">
      <c r="AO808" s="4"/>
      <c r="AP808" s="4"/>
    </row>
    <row r="809" spans="41:42" x14ac:dyDescent="0.25">
      <c r="AO809" s="4"/>
      <c r="AP809" s="4"/>
    </row>
    <row r="810" spans="41:42" x14ac:dyDescent="0.25">
      <c r="AO810" s="4"/>
      <c r="AP810" s="4"/>
    </row>
    <row r="811" spans="41:42" x14ac:dyDescent="0.25">
      <c r="AO811" s="4"/>
      <c r="AP811" s="4"/>
    </row>
    <row r="812" spans="41:42" x14ac:dyDescent="0.25">
      <c r="AO812" s="4"/>
      <c r="AP812" s="4"/>
    </row>
    <row r="813" spans="41:42" x14ac:dyDescent="0.25">
      <c r="AO813" s="4"/>
      <c r="AP813" s="4"/>
    </row>
    <row r="814" spans="41:42" x14ac:dyDescent="0.25">
      <c r="AO814" s="4"/>
      <c r="AP814" s="4"/>
    </row>
    <row r="815" spans="41:42" x14ac:dyDescent="0.25">
      <c r="AO815" s="4"/>
      <c r="AP815" s="4"/>
    </row>
    <row r="816" spans="41:42" x14ac:dyDescent="0.25">
      <c r="AO816" s="4"/>
      <c r="AP816" s="4"/>
    </row>
    <row r="817" spans="41:42" x14ac:dyDescent="0.25">
      <c r="AO817" s="4"/>
      <c r="AP817" s="4"/>
    </row>
    <row r="818" spans="41:42" x14ac:dyDescent="0.25">
      <c r="AO818" s="4"/>
      <c r="AP818" s="4"/>
    </row>
    <row r="819" spans="41:42" x14ac:dyDescent="0.25">
      <c r="AO819" s="4"/>
      <c r="AP819" s="4"/>
    </row>
    <row r="820" spans="41:42" x14ac:dyDescent="0.25">
      <c r="AO820" s="4"/>
      <c r="AP820" s="4"/>
    </row>
    <row r="821" spans="41:42" x14ac:dyDescent="0.25">
      <c r="AO821" s="4"/>
      <c r="AP821" s="4"/>
    </row>
    <row r="822" spans="41:42" x14ac:dyDescent="0.25">
      <c r="AO822" s="4"/>
      <c r="AP822" s="4"/>
    </row>
    <row r="823" spans="41:42" x14ac:dyDescent="0.25">
      <c r="AO823" s="4"/>
      <c r="AP823" s="4"/>
    </row>
    <row r="824" spans="41:42" x14ac:dyDescent="0.25">
      <c r="AO824" s="4"/>
      <c r="AP824" s="4"/>
    </row>
    <row r="825" spans="41:42" x14ac:dyDescent="0.25">
      <c r="AO825" s="4"/>
      <c r="AP825" s="4"/>
    </row>
    <row r="826" spans="41:42" x14ac:dyDescent="0.25">
      <c r="AO826" s="4"/>
      <c r="AP826" s="4"/>
    </row>
    <row r="827" spans="41:42" x14ac:dyDescent="0.25">
      <c r="AO827" s="4"/>
      <c r="AP827" s="4"/>
    </row>
    <row r="828" spans="41:42" x14ac:dyDescent="0.25">
      <c r="AO828" s="4"/>
      <c r="AP828" s="4"/>
    </row>
    <row r="829" spans="41:42" x14ac:dyDescent="0.25">
      <c r="AO829" s="4"/>
      <c r="AP829" s="4"/>
    </row>
    <row r="830" spans="41:42" x14ac:dyDescent="0.25">
      <c r="AO830" s="4"/>
      <c r="AP830" s="4"/>
    </row>
    <row r="831" spans="41:42" x14ac:dyDescent="0.25">
      <c r="AO831" s="4"/>
      <c r="AP831" s="4"/>
    </row>
    <row r="832" spans="41:42" x14ac:dyDescent="0.25">
      <c r="AO832" s="4"/>
      <c r="AP832" s="4"/>
    </row>
    <row r="833" spans="41:42" x14ac:dyDescent="0.25">
      <c r="AO833" s="4"/>
      <c r="AP833" s="4"/>
    </row>
    <row r="834" spans="41:42" x14ac:dyDescent="0.25">
      <c r="AO834" s="4"/>
      <c r="AP834" s="4"/>
    </row>
    <row r="835" spans="41:42" x14ac:dyDescent="0.25">
      <c r="AO835" s="4"/>
      <c r="AP835" s="4"/>
    </row>
    <row r="836" spans="41:42" x14ac:dyDescent="0.25">
      <c r="AO836" s="4"/>
      <c r="AP836" s="4"/>
    </row>
    <row r="837" spans="41:42" x14ac:dyDescent="0.25">
      <c r="AO837" s="4"/>
      <c r="AP837" s="4"/>
    </row>
    <row r="838" spans="41:42" x14ac:dyDescent="0.25">
      <c r="AO838" s="4"/>
      <c r="AP838" s="4"/>
    </row>
    <row r="839" spans="41:42" x14ac:dyDescent="0.25">
      <c r="AO839" s="4"/>
      <c r="AP839" s="4"/>
    </row>
    <row r="840" spans="41:42" x14ac:dyDescent="0.25">
      <c r="AO840" s="4"/>
      <c r="AP840" s="4"/>
    </row>
    <row r="841" spans="41:42" x14ac:dyDescent="0.25">
      <c r="AO841" s="4"/>
      <c r="AP841" s="4"/>
    </row>
    <row r="842" spans="41:42" x14ac:dyDescent="0.25">
      <c r="AO842" s="4"/>
      <c r="AP842" s="4"/>
    </row>
    <row r="843" spans="41:42" x14ac:dyDescent="0.25">
      <c r="AO843" s="4"/>
      <c r="AP843" s="4"/>
    </row>
    <row r="844" spans="41:42" x14ac:dyDescent="0.25">
      <c r="AO844" s="4"/>
      <c r="AP844" s="4"/>
    </row>
    <row r="845" spans="41:42" x14ac:dyDescent="0.25">
      <c r="AO845" s="4"/>
      <c r="AP845" s="4"/>
    </row>
    <row r="846" spans="41:42" x14ac:dyDescent="0.25">
      <c r="AO846" s="4"/>
      <c r="AP846" s="4"/>
    </row>
    <row r="847" spans="41:42" x14ac:dyDescent="0.25">
      <c r="AO847" s="4"/>
      <c r="AP847" s="4"/>
    </row>
    <row r="848" spans="41:42" x14ac:dyDescent="0.25">
      <c r="AO848" s="4"/>
      <c r="AP848" s="4"/>
    </row>
    <row r="849" spans="41:42" x14ac:dyDescent="0.25">
      <c r="AO849" s="4"/>
      <c r="AP849" s="4"/>
    </row>
    <row r="850" spans="41:42" x14ac:dyDescent="0.25">
      <c r="AO850" s="4"/>
      <c r="AP850" s="4"/>
    </row>
    <row r="851" spans="41:42" x14ac:dyDescent="0.25">
      <c r="AO851" s="4"/>
      <c r="AP851" s="4"/>
    </row>
    <row r="852" spans="41:42" x14ac:dyDescent="0.25">
      <c r="AO852" s="4"/>
      <c r="AP852" s="4"/>
    </row>
    <row r="853" spans="41:42" x14ac:dyDescent="0.25">
      <c r="AO853" s="4"/>
      <c r="AP853" s="4"/>
    </row>
    <row r="854" spans="41:42" x14ac:dyDescent="0.25">
      <c r="AO854" s="4"/>
      <c r="AP854" s="4"/>
    </row>
    <row r="855" spans="41:42" x14ac:dyDescent="0.25">
      <c r="AO855" s="4"/>
      <c r="AP855" s="4"/>
    </row>
    <row r="856" spans="41:42" x14ac:dyDescent="0.25">
      <c r="AO856" s="4"/>
      <c r="AP856" s="4"/>
    </row>
    <row r="857" spans="41:42" x14ac:dyDescent="0.25">
      <c r="AO857" s="4"/>
      <c r="AP857" s="4"/>
    </row>
    <row r="858" spans="41:42" x14ac:dyDescent="0.25">
      <c r="AO858" s="4"/>
      <c r="AP858" s="4"/>
    </row>
    <row r="859" spans="41:42" x14ac:dyDescent="0.25">
      <c r="AO859" s="4"/>
      <c r="AP859" s="4"/>
    </row>
    <row r="860" spans="41:42" x14ac:dyDescent="0.25">
      <c r="AO860" s="4"/>
      <c r="AP860" s="4"/>
    </row>
    <row r="861" spans="41:42" x14ac:dyDescent="0.25">
      <c r="AO861" s="4"/>
      <c r="AP861" s="4"/>
    </row>
    <row r="862" spans="41:42" x14ac:dyDescent="0.25">
      <c r="AO862" s="4"/>
      <c r="AP862" s="4"/>
    </row>
    <row r="863" spans="41:42" x14ac:dyDescent="0.25">
      <c r="AO863" s="4"/>
      <c r="AP863" s="4"/>
    </row>
    <row r="864" spans="41:42" x14ac:dyDescent="0.25">
      <c r="AO864" s="4"/>
      <c r="AP864" s="4"/>
    </row>
    <row r="865" spans="41:42" x14ac:dyDescent="0.25">
      <c r="AO865" s="4"/>
      <c r="AP865" s="4"/>
    </row>
    <row r="866" spans="41:42" x14ac:dyDescent="0.25">
      <c r="AO866" s="4"/>
      <c r="AP866" s="4"/>
    </row>
    <row r="867" spans="41:42" x14ac:dyDescent="0.25">
      <c r="AO867" s="4"/>
      <c r="AP867" s="4"/>
    </row>
    <row r="868" spans="41:42" x14ac:dyDescent="0.25">
      <c r="AO868" s="4"/>
      <c r="AP868" s="4"/>
    </row>
    <row r="869" spans="41:42" x14ac:dyDescent="0.25">
      <c r="AO869" s="4"/>
      <c r="AP869" s="4"/>
    </row>
    <row r="870" spans="41:42" x14ac:dyDescent="0.25">
      <c r="AO870" s="4"/>
      <c r="AP870" s="4"/>
    </row>
    <row r="871" spans="41:42" x14ac:dyDescent="0.25">
      <c r="AO871" s="4"/>
      <c r="AP871" s="4"/>
    </row>
    <row r="872" spans="41:42" x14ac:dyDescent="0.25">
      <c r="AO872" s="4"/>
      <c r="AP872" s="4"/>
    </row>
    <row r="873" spans="41:42" x14ac:dyDescent="0.25">
      <c r="AO873" s="4"/>
      <c r="AP873" s="4"/>
    </row>
    <row r="874" spans="41:42" x14ac:dyDescent="0.25">
      <c r="AO874" s="4"/>
      <c r="AP874" s="4"/>
    </row>
    <row r="875" spans="41:42" x14ac:dyDescent="0.25">
      <c r="AO875" s="4"/>
      <c r="AP875" s="4"/>
    </row>
    <row r="876" spans="41:42" x14ac:dyDescent="0.25">
      <c r="AO876" s="4"/>
      <c r="AP876" s="4"/>
    </row>
    <row r="877" spans="41:42" x14ac:dyDescent="0.25">
      <c r="AO877" s="4"/>
      <c r="AP877" s="4"/>
    </row>
    <row r="878" spans="41:42" x14ac:dyDescent="0.25">
      <c r="AO878" s="4"/>
      <c r="AP878" s="4"/>
    </row>
    <row r="879" spans="41:42" x14ac:dyDescent="0.25">
      <c r="AO879" s="4"/>
      <c r="AP879" s="4"/>
    </row>
    <row r="880" spans="41:42" x14ac:dyDescent="0.25">
      <c r="AO880" s="4"/>
      <c r="AP880" s="4"/>
    </row>
    <row r="881" spans="41:42" x14ac:dyDescent="0.25">
      <c r="AO881" s="4"/>
      <c r="AP881" s="4"/>
    </row>
    <row r="882" spans="41:42" x14ac:dyDescent="0.25">
      <c r="AO882" s="4"/>
      <c r="AP882" s="4"/>
    </row>
    <row r="883" spans="41:42" x14ac:dyDescent="0.25">
      <c r="AO883" s="4"/>
      <c r="AP883" s="4"/>
    </row>
    <row r="884" spans="41:42" x14ac:dyDescent="0.25">
      <c r="AO884" s="4"/>
      <c r="AP884" s="4"/>
    </row>
    <row r="885" spans="41:42" x14ac:dyDescent="0.25">
      <c r="AO885" s="4"/>
      <c r="AP885" s="4"/>
    </row>
    <row r="886" spans="41:42" x14ac:dyDescent="0.25">
      <c r="AO886" s="4"/>
      <c r="AP886" s="4"/>
    </row>
    <row r="887" spans="41:42" x14ac:dyDescent="0.25">
      <c r="AO887" s="4"/>
      <c r="AP887" s="4"/>
    </row>
    <row r="888" spans="41:42" x14ac:dyDescent="0.25">
      <c r="AO888" s="4"/>
      <c r="AP888" s="4"/>
    </row>
    <row r="889" spans="41:42" x14ac:dyDescent="0.25">
      <c r="AO889" s="4"/>
      <c r="AP889" s="4"/>
    </row>
    <row r="890" spans="41:42" x14ac:dyDescent="0.25">
      <c r="AO890" s="4"/>
      <c r="AP890" s="4"/>
    </row>
    <row r="891" spans="41:42" x14ac:dyDescent="0.25">
      <c r="AO891" s="4"/>
      <c r="AP891" s="4"/>
    </row>
    <row r="892" spans="41:42" x14ac:dyDescent="0.25">
      <c r="AO892" s="4"/>
      <c r="AP892" s="4"/>
    </row>
    <row r="893" spans="41:42" x14ac:dyDescent="0.25">
      <c r="AO893" s="4"/>
      <c r="AP893" s="4"/>
    </row>
    <row r="894" spans="41:42" x14ac:dyDescent="0.25">
      <c r="AO894" s="4"/>
      <c r="AP894" s="4"/>
    </row>
    <row r="895" spans="41:42" x14ac:dyDescent="0.25">
      <c r="AO895" s="4"/>
      <c r="AP895" s="4"/>
    </row>
    <row r="896" spans="41:42" x14ac:dyDescent="0.25">
      <c r="AO896" s="4"/>
      <c r="AP896" s="4"/>
    </row>
    <row r="897" spans="41:42" x14ac:dyDescent="0.25">
      <c r="AO897" s="4"/>
      <c r="AP897" s="4"/>
    </row>
    <row r="898" spans="41:42" x14ac:dyDescent="0.25">
      <c r="AO898" s="4"/>
      <c r="AP898" s="4"/>
    </row>
    <row r="899" spans="41:42" x14ac:dyDescent="0.25">
      <c r="AO899" s="4"/>
      <c r="AP899" s="4"/>
    </row>
    <row r="900" spans="41:42" x14ac:dyDescent="0.25">
      <c r="AO900" s="4"/>
      <c r="AP900" s="4"/>
    </row>
    <row r="901" spans="41:42" x14ac:dyDescent="0.25">
      <c r="AO901" s="4"/>
      <c r="AP901" s="4"/>
    </row>
    <row r="902" spans="41:42" x14ac:dyDescent="0.25">
      <c r="AO902" s="4"/>
      <c r="AP902" s="4"/>
    </row>
    <row r="903" spans="41:42" x14ac:dyDescent="0.25">
      <c r="AO903" s="4"/>
      <c r="AP903" s="4"/>
    </row>
    <row r="904" spans="41:42" x14ac:dyDescent="0.25">
      <c r="AO904" s="4"/>
      <c r="AP904" s="4"/>
    </row>
    <row r="905" spans="41:42" x14ac:dyDescent="0.25">
      <c r="AO905" s="4"/>
      <c r="AP905" s="4"/>
    </row>
    <row r="906" spans="41:42" x14ac:dyDescent="0.25">
      <c r="AO906" s="4"/>
      <c r="AP906" s="4"/>
    </row>
    <row r="907" spans="41:42" x14ac:dyDescent="0.25">
      <c r="AO907" s="4"/>
      <c r="AP907" s="4"/>
    </row>
    <row r="908" spans="41:42" x14ac:dyDescent="0.25">
      <c r="AO908" s="4"/>
      <c r="AP908" s="4"/>
    </row>
    <row r="909" spans="41:42" x14ac:dyDescent="0.25">
      <c r="AO909" s="4"/>
      <c r="AP909" s="4"/>
    </row>
    <row r="910" spans="41:42" x14ac:dyDescent="0.25">
      <c r="AO910" s="4"/>
      <c r="AP910" s="4"/>
    </row>
    <row r="911" spans="41:42" x14ac:dyDescent="0.25">
      <c r="AO911" s="4"/>
      <c r="AP911" s="4"/>
    </row>
    <row r="912" spans="41:42" x14ac:dyDescent="0.25">
      <c r="AO912" s="4"/>
      <c r="AP912" s="4"/>
    </row>
    <row r="913" spans="41:42" x14ac:dyDescent="0.25">
      <c r="AO913" s="4"/>
      <c r="AP913" s="4"/>
    </row>
    <row r="914" spans="41:42" x14ac:dyDescent="0.25">
      <c r="AO914" s="4"/>
      <c r="AP914" s="4"/>
    </row>
    <row r="915" spans="41:42" x14ac:dyDescent="0.25">
      <c r="AO915" s="4"/>
      <c r="AP915" s="4"/>
    </row>
    <row r="916" spans="41:42" x14ac:dyDescent="0.25">
      <c r="AO916" s="4"/>
      <c r="AP916" s="4"/>
    </row>
    <row r="917" spans="41:42" x14ac:dyDescent="0.25">
      <c r="AO917" s="4"/>
      <c r="AP917" s="4"/>
    </row>
    <row r="918" spans="41:42" x14ac:dyDescent="0.25">
      <c r="AO918" s="4"/>
      <c r="AP918" s="4"/>
    </row>
    <row r="919" spans="41:42" x14ac:dyDescent="0.25">
      <c r="AO919" s="4"/>
      <c r="AP919" s="4"/>
    </row>
    <row r="920" spans="41:42" x14ac:dyDescent="0.25">
      <c r="AO920" s="4"/>
      <c r="AP920" s="4"/>
    </row>
    <row r="921" spans="41:42" x14ac:dyDescent="0.25">
      <c r="AO921" s="4"/>
      <c r="AP921" s="4"/>
    </row>
    <row r="922" spans="41:42" x14ac:dyDescent="0.25">
      <c r="AO922" s="4"/>
      <c r="AP922" s="4"/>
    </row>
    <row r="923" spans="41:42" x14ac:dyDescent="0.25">
      <c r="AO923" s="4"/>
      <c r="AP923" s="4"/>
    </row>
    <row r="924" spans="41:42" x14ac:dyDescent="0.25">
      <c r="AO924" s="4"/>
      <c r="AP924" s="4"/>
    </row>
    <row r="925" spans="41:42" x14ac:dyDescent="0.25">
      <c r="AO925" s="4"/>
      <c r="AP925" s="4"/>
    </row>
    <row r="926" spans="41:42" x14ac:dyDescent="0.25">
      <c r="AO926" s="4"/>
      <c r="AP926" s="4"/>
    </row>
    <row r="927" spans="41:42" x14ac:dyDescent="0.25">
      <c r="AO927" s="4"/>
      <c r="AP927" s="4"/>
    </row>
    <row r="928" spans="41:42" x14ac:dyDescent="0.25">
      <c r="AO928" s="4"/>
      <c r="AP928" s="4"/>
    </row>
    <row r="929" spans="41:42" x14ac:dyDescent="0.25">
      <c r="AO929" s="4"/>
      <c r="AP929" s="4"/>
    </row>
    <row r="930" spans="41:42" x14ac:dyDescent="0.25">
      <c r="AO930" s="4"/>
      <c r="AP930" s="4"/>
    </row>
    <row r="931" spans="41:42" x14ac:dyDescent="0.25">
      <c r="AO931" s="4"/>
      <c r="AP931" s="4"/>
    </row>
    <row r="932" spans="41:42" x14ac:dyDescent="0.25">
      <c r="AO932" s="4"/>
      <c r="AP932" s="4"/>
    </row>
    <row r="933" spans="41:42" x14ac:dyDescent="0.25">
      <c r="AO933" s="4"/>
      <c r="AP933" s="4"/>
    </row>
    <row r="934" spans="41:42" x14ac:dyDescent="0.25">
      <c r="AO934" s="4"/>
      <c r="AP934" s="4"/>
    </row>
    <row r="935" spans="41:42" x14ac:dyDescent="0.25">
      <c r="AO935" s="4"/>
      <c r="AP935" s="4"/>
    </row>
    <row r="936" spans="41:42" x14ac:dyDescent="0.25">
      <c r="AO936" s="4"/>
      <c r="AP936" s="4"/>
    </row>
    <row r="937" spans="41:42" x14ac:dyDescent="0.25">
      <c r="AO937" s="4"/>
      <c r="AP937" s="4"/>
    </row>
    <row r="938" spans="41:42" x14ac:dyDescent="0.25">
      <c r="AO938" s="4"/>
      <c r="AP938" s="4"/>
    </row>
    <row r="939" spans="41:42" x14ac:dyDescent="0.25">
      <c r="AO939" s="4"/>
      <c r="AP939" s="4"/>
    </row>
    <row r="940" spans="41:42" x14ac:dyDescent="0.25">
      <c r="AO940" s="4"/>
      <c r="AP940" s="4"/>
    </row>
    <row r="941" spans="41:42" x14ac:dyDescent="0.25">
      <c r="AO941" s="4"/>
      <c r="AP941" s="4"/>
    </row>
    <row r="942" spans="41:42" x14ac:dyDescent="0.25">
      <c r="AO942" s="4"/>
      <c r="AP942" s="4"/>
    </row>
    <row r="943" spans="41:42" x14ac:dyDescent="0.25">
      <c r="AO943" s="4"/>
      <c r="AP943" s="4"/>
    </row>
    <row r="944" spans="41:42" x14ac:dyDescent="0.25">
      <c r="AO944" s="4"/>
      <c r="AP944" s="4"/>
    </row>
    <row r="945" spans="41:42" x14ac:dyDescent="0.25">
      <c r="AO945" s="4"/>
      <c r="AP945" s="4"/>
    </row>
    <row r="946" spans="41:42" x14ac:dyDescent="0.25">
      <c r="AO946" s="4"/>
      <c r="AP946" s="4"/>
    </row>
    <row r="947" spans="41:42" x14ac:dyDescent="0.25">
      <c r="AO947" s="4"/>
      <c r="AP947" s="4"/>
    </row>
    <row r="948" spans="41:42" x14ac:dyDescent="0.25">
      <c r="AO948" s="4"/>
      <c r="AP948" s="4"/>
    </row>
    <row r="949" spans="41:42" x14ac:dyDescent="0.25">
      <c r="AO949" s="4"/>
      <c r="AP949" s="4"/>
    </row>
    <row r="950" spans="41:42" x14ac:dyDescent="0.25">
      <c r="AO950" s="4"/>
      <c r="AP950" s="4"/>
    </row>
    <row r="951" spans="41:42" x14ac:dyDescent="0.25">
      <c r="AO951" s="4"/>
      <c r="AP951" s="4"/>
    </row>
    <row r="952" spans="41:42" x14ac:dyDescent="0.25">
      <c r="AO952" s="4"/>
      <c r="AP952" s="4"/>
    </row>
    <row r="953" spans="41:42" x14ac:dyDescent="0.25">
      <c r="AO953" s="4"/>
      <c r="AP953" s="4"/>
    </row>
    <row r="954" spans="41:42" x14ac:dyDescent="0.25">
      <c r="AO954" s="4"/>
      <c r="AP954" s="4"/>
    </row>
    <row r="955" spans="41:42" x14ac:dyDescent="0.25">
      <c r="AO955" s="4"/>
      <c r="AP955" s="4"/>
    </row>
    <row r="956" spans="41:42" x14ac:dyDescent="0.25">
      <c r="AO956" s="4"/>
      <c r="AP956" s="4"/>
    </row>
    <row r="957" spans="41:42" x14ac:dyDescent="0.25">
      <c r="AO957" s="4"/>
      <c r="AP957" s="4"/>
    </row>
    <row r="958" spans="41:42" x14ac:dyDescent="0.25">
      <c r="AO958" s="4"/>
      <c r="AP958" s="4"/>
    </row>
    <row r="959" spans="41:42" x14ac:dyDescent="0.25">
      <c r="AO959" s="4"/>
      <c r="AP959" s="4"/>
    </row>
    <row r="960" spans="41:42" x14ac:dyDescent="0.25">
      <c r="AO960" s="4"/>
      <c r="AP960" s="4"/>
    </row>
    <row r="961" spans="41:42" x14ac:dyDescent="0.25">
      <c r="AO961" s="4"/>
      <c r="AP961" s="4"/>
    </row>
    <row r="962" spans="41:42" x14ac:dyDescent="0.25">
      <c r="AO962" s="4"/>
      <c r="AP962" s="4"/>
    </row>
    <row r="963" spans="41:42" x14ac:dyDescent="0.25">
      <c r="AO963" s="4"/>
      <c r="AP963" s="4"/>
    </row>
    <row r="964" spans="41:42" x14ac:dyDescent="0.25">
      <c r="AO964" s="4"/>
      <c r="AP964" s="4"/>
    </row>
    <row r="965" spans="41:42" x14ac:dyDescent="0.25">
      <c r="AO965" s="4"/>
      <c r="AP965" s="4"/>
    </row>
    <row r="966" spans="41:42" x14ac:dyDescent="0.25">
      <c r="AO966" s="4"/>
      <c r="AP966" s="4"/>
    </row>
    <row r="967" spans="41:42" x14ac:dyDescent="0.25">
      <c r="AO967" s="4"/>
      <c r="AP967" s="4"/>
    </row>
    <row r="968" spans="41:42" x14ac:dyDescent="0.25">
      <c r="AO968" s="4"/>
      <c r="AP968" s="4"/>
    </row>
    <row r="969" spans="41:42" x14ac:dyDescent="0.25">
      <c r="AO969" s="4"/>
      <c r="AP969" s="4"/>
    </row>
    <row r="970" spans="41:42" x14ac:dyDescent="0.25">
      <c r="AO970" s="4"/>
      <c r="AP970" s="4"/>
    </row>
    <row r="971" spans="41:42" x14ac:dyDescent="0.25">
      <c r="AO971" s="4"/>
      <c r="AP971" s="4"/>
    </row>
    <row r="972" spans="41:42" x14ac:dyDescent="0.25">
      <c r="AO972" s="4"/>
      <c r="AP972" s="4"/>
    </row>
    <row r="973" spans="41:42" x14ac:dyDescent="0.25">
      <c r="AO973" s="4"/>
      <c r="AP973" s="4"/>
    </row>
    <row r="974" spans="41:42" x14ac:dyDescent="0.25">
      <c r="AO974" s="4"/>
      <c r="AP974" s="4"/>
    </row>
    <row r="975" spans="41:42" x14ac:dyDescent="0.25">
      <c r="AO975" s="4"/>
      <c r="AP975" s="4"/>
    </row>
    <row r="976" spans="41:42" x14ac:dyDescent="0.25">
      <c r="AO976" s="4"/>
      <c r="AP976" s="4"/>
    </row>
    <row r="977" spans="41:42" x14ac:dyDescent="0.25">
      <c r="AO977" s="4"/>
      <c r="AP977" s="4"/>
    </row>
    <row r="978" spans="41:42" x14ac:dyDescent="0.25">
      <c r="AO978" s="4"/>
      <c r="AP978" s="4"/>
    </row>
    <row r="979" spans="41:42" x14ac:dyDescent="0.25">
      <c r="AO979" s="4"/>
      <c r="AP979" s="4"/>
    </row>
    <row r="980" spans="41:42" x14ac:dyDescent="0.25">
      <c r="AO980" s="4"/>
      <c r="AP980" s="4"/>
    </row>
    <row r="981" spans="41:42" x14ac:dyDescent="0.25">
      <c r="AO981" s="4"/>
      <c r="AP981" s="4"/>
    </row>
    <row r="982" spans="41:42" x14ac:dyDescent="0.25">
      <c r="AO982" s="4"/>
      <c r="AP982" s="4"/>
    </row>
    <row r="983" spans="41:42" x14ac:dyDescent="0.25">
      <c r="AO983" s="4"/>
      <c r="AP983" s="4"/>
    </row>
    <row r="984" spans="41:42" x14ac:dyDescent="0.25">
      <c r="AO984" s="4"/>
      <c r="AP984" s="4"/>
    </row>
    <row r="985" spans="41:42" x14ac:dyDescent="0.25">
      <c r="AO985" s="4"/>
      <c r="AP985" s="4"/>
    </row>
    <row r="986" spans="41:42" x14ac:dyDescent="0.25">
      <c r="AO986" s="4"/>
      <c r="AP986" s="4"/>
    </row>
    <row r="987" spans="41:42" x14ac:dyDescent="0.25">
      <c r="AO987" s="4"/>
      <c r="AP987" s="4"/>
    </row>
    <row r="988" spans="41:42" x14ac:dyDescent="0.25">
      <c r="AO988" s="4"/>
      <c r="AP988" s="4"/>
    </row>
    <row r="989" spans="41:42" x14ac:dyDescent="0.25">
      <c r="AO989" s="4"/>
      <c r="AP989" s="4"/>
    </row>
    <row r="990" spans="41:42" x14ac:dyDescent="0.25">
      <c r="AO990" s="4"/>
      <c r="AP990" s="4"/>
    </row>
    <row r="991" spans="41:42" x14ac:dyDescent="0.25">
      <c r="AO991" s="4"/>
      <c r="AP991" s="4"/>
    </row>
    <row r="992" spans="41:42" x14ac:dyDescent="0.25">
      <c r="AO992" s="4"/>
      <c r="AP992" s="4"/>
    </row>
    <row r="993" spans="41:42" x14ac:dyDescent="0.25">
      <c r="AO993" s="4"/>
      <c r="AP993" s="4"/>
    </row>
    <row r="994" spans="41:42" x14ac:dyDescent="0.25">
      <c r="AO994" s="4"/>
      <c r="AP994" s="4"/>
    </row>
    <row r="995" spans="41:42" x14ac:dyDescent="0.25">
      <c r="AO995" s="4"/>
      <c r="AP995" s="4"/>
    </row>
    <row r="996" spans="41:42" x14ac:dyDescent="0.25">
      <c r="AO996" s="4"/>
      <c r="AP996" s="4"/>
    </row>
    <row r="997" spans="41:42" x14ac:dyDescent="0.25">
      <c r="AO997" s="4"/>
      <c r="AP997" s="4"/>
    </row>
    <row r="998" spans="41:42" x14ac:dyDescent="0.25">
      <c r="AO998" s="4"/>
      <c r="AP998" s="4"/>
    </row>
    <row r="999" spans="41:42" x14ac:dyDescent="0.25">
      <c r="AO999" s="4"/>
      <c r="AP999" s="4"/>
    </row>
    <row r="1000" spans="41:42" x14ac:dyDescent="0.25">
      <c r="AO1000" s="4"/>
      <c r="AP1000" s="4"/>
    </row>
    <row r="1001" spans="41:42" x14ac:dyDescent="0.25">
      <c r="AO1001" s="4"/>
      <c r="AP1001" s="4"/>
    </row>
    <row r="1002" spans="41:42" x14ac:dyDescent="0.25">
      <c r="AO1002" s="4"/>
      <c r="AP1002" s="4"/>
    </row>
    <row r="1003" spans="41:42" x14ac:dyDescent="0.25">
      <c r="AO1003" s="4"/>
      <c r="AP1003" s="4"/>
    </row>
    <row r="1004" spans="41:42" x14ac:dyDescent="0.25">
      <c r="AO1004" s="4"/>
      <c r="AP1004" s="4"/>
    </row>
    <row r="1005" spans="41:42" x14ac:dyDescent="0.25">
      <c r="AO1005" s="4"/>
      <c r="AP1005" s="4"/>
    </row>
    <row r="1006" spans="41:42" x14ac:dyDescent="0.25">
      <c r="AO1006" s="4"/>
      <c r="AP1006" s="4"/>
    </row>
    <row r="1007" spans="41:42" x14ac:dyDescent="0.25">
      <c r="AO1007" s="4"/>
      <c r="AP1007" s="4"/>
    </row>
    <row r="1008" spans="41:42" x14ac:dyDescent="0.25">
      <c r="AO1008" s="4"/>
      <c r="AP1008" s="4"/>
    </row>
    <row r="1009" spans="41:42" x14ac:dyDescent="0.25">
      <c r="AO1009" s="4"/>
      <c r="AP1009" s="4"/>
    </row>
    <row r="1010" spans="41:42" x14ac:dyDescent="0.25">
      <c r="AO1010" s="4"/>
      <c r="AP1010" s="4"/>
    </row>
    <row r="1011" spans="41:42" x14ac:dyDescent="0.25">
      <c r="AO1011" s="4"/>
      <c r="AP1011" s="4"/>
    </row>
    <row r="1012" spans="41:42" x14ac:dyDescent="0.25">
      <c r="AO1012" s="4"/>
      <c r="AP1012" s="4"/>
    </row>
    <row r="1013" spans="41:42" x14ac:dyDescent="0.25">
      <c r="AO1013" s="4"/>
      <c r="AP1013" s="4"/>
    </row>
    <row r="1014" spans="41:42" x14ac:dyDescent="0.25">
      <c r="AO1014" s="4"/>
      <c r="AP1014" s="4"/>
    </row>
    <row r="1015" spans="41:42" x14ac:dyDescent="0.25">
      <c r="AO1015" s="4"/>
      <c r="AP1015" s="4"/>
    </row>
    <row r="1016" spans="41:42" x14ac:dyDescent="0.25">
      <c r="AO1016" s="4"/>
      <c r="AP1016" s="4"/>
    </row>
    <row r="1017" spans="41:42" x14ac:dyDescent="0.25">
      <c r="AO1017" s="4"/>
      <c r="AP1017" s="4"/>
    </row>
    <row r="1018" spans="41:42" x14ac:dyDescent="0.25">
      <c r="AO1018" s="4"/>
      <c r="AP1018" s="4"/>
    </row>
    <row r="1019" spans="41:42" x14ac:dyDescent="0.25">
      <c r="AO1019" s="4"/>
      <c r="AP1019" s="4"/>
    </row>
    <row r="1020" spans="41:42" x14ac:dyDescent="0.25">
      <c r="AO1020" s="4"/>
      <c r="AP1020" s="4"/>
    </row>
    <row r="1021" spans="41:42" x14ac:dyDescent="0.25">
      <c r="AO1021" s="4"/>
      <c r="AP1021" s="4"/>
    </row>
    <row r="1022" spans="41:42" x14ac:dyDescent="0.25">
      <c r="AO1022" s="4"/>
      <c r="AP1022" s="4"/>
    </row>
    <row r="1023" spans="41:42" x14ac:dyDescent="0.25">
      <c r="AO1023" s="4"/>
      <c r="AP1023" s="4"/>
    </row>
    <row r="1024" spans="41:42" x14ac:dyDescent="0.25">
      <c r="AO1024" s="4"/>
      <c r="AP1024" s="4"/>
    </row>
    <row r="1025" spans="41:42" x14ac:dyDescent="0.25">
      <c r="AO1025" s="4"/>
      <c r="AP1025" s="4"/>
    </row>
    <row r="1026" spans="41:42" x14ac:dyDescent="0.25">
      <c r="AO1026" s="4"/>
      <c r="AP1026" s="4"/>
    </row>
    <row r="1027" spans="41:42" x14ac:dyDescent="0.25">
      <c r="AO1027" s="4"/>
      <c r="AP1027" s="4"/>
    </row>
    <row r="1028" spans="41:42" x14ac:dyDescent="0.25">
      <c r="AO1028" s="4"/>
      <c r="AP1028" s="4"/>
    </row>
    <row r="1029" spans="41:42" x14ac:dyDescent="0.25">
      <c r="AO1029" s="4"/>
      <c r="AP1029" s="4"/>
    </row>
    <row r="1030" spans="41:42" x14ac:dyDescent="0.25">
      <c r="AO1030" s="4"/>
      <c r="AP1030" s="4"/>
    </row>
    <row r="1031" spans="41:42" x14ac:dyDescent="0.25">
      <c r="AO1031" s="4"/>
      <c r="AP1031" s="4"/>
    </row>
    <row r="1032" spans="41:42" x14ac:dyDescent="0.25">
      <c r="AO1032" s="4"/>
      <c r="AP1032" s="4"/>
    </row>
    <row r="1033" spans="41:42" x14ac:dyDescent="0.25">
      <c r="AO1033" s="4"/>
      <c r="AP1033" s="4"/>
    </row>
    <row r="1034" spans="41:42" x14ac:dyDescent="0.25">
      <c r="AO1034" s="4"/>
      <c r="AP1034" s="4"/>
    </row>
    <row r="1035" spans="41:42" x14ac:dyDescent="0.25">
      <c r="AO1035" s="4"/>
      <c r="AP1035" s="4"/>
    </row>
    <row r="1036" spans="41:42" x14ac:dyDescent="0.25">
      <c r="AO1036" s="4"/>
      <c r="AP1036" s="4"/>
    </row>
    <row r="1037" spans="41:42" x14ac:dyDescent="0.25">
      <c r="AO1037" s="4"/>
      <c r="AP1037" s="4"/>
    </row>
    <row r="1038" spans="41:42" x14ac:dyDescent="0.25">
      <c r="AO1038" s="4"/>
      <c r="AP1038" s="4"/>
    </row>
    <row r="1039" spans="41:42" x14ac:dyDescent="0.25">
      <c r="AO1039" s="4"/>
      <c r="AP1039" s="4"/>
    </row>
    <row r="1040" spans="41:42" x14ac:dyDescent="0.25">
      <c r="AO1040" s="4"/>
      <c r="AP1040" s="4"/>
    </row>
    <row r="1041" spans="41:42" x14ac:dyDescent="0.25">
      <c r="AO1041" s="4"/>
      <c r="AP1041" s="4"/>
    </row>
    <row r="1042" spans="41:42" x14ac:dyDescent="0.25">
      <c r="AO1042" s="4"/>
      <c r="AP1042" s="4"/>
    </row>
    <row r="1043" spans="41:42" x14ac:dyDescent="0.25">
      <c r="AO1043" s="4"/>
      <c r="AP1043" s="4"/>
    </row>
    <row r="1044" spans="41:42" x14ac:dyDescent="0.25">
      <c r="AO1044" s="4"/>
      <c r="AP1044" s="4"/>
    </row>
    <row r="1045" spans="41:42" x14ac:dyDescent="0.25">
      <c r="AO1045" s="4"/>
      <c r="AP1045" s="4"/>
    </row>
    <row r="1046" spans="41:42" x14ac:dyDescent="0.25">
      <c r="AO1046" s="4"/>
      <c r="AP1046" s="4"/>
    </row>
    <row r="1047" spans="41:42" x14ac:dyDescent="0.25">
      <c r="AO1047" s="4"/>
      <c r="AP1047" s="4"/>
    </row>
    <row r="1048" spans="41:42" x14ac:dyDescent="0.25">
      <c r="AO1048" s="4"/>
      <c r="AP1048" s="4"/>
    </row>
    <row r="1049" spans="41:42" x14ac:dyDescent="0.25">
      <c r="AO1049" s="4"/>
      <c r="AP1049" s="4"/>
    </row>
    <row r="1050" spans="41:42" x14ac:dyDescent="0.25">
      <c r="AO1050" s="4"/>
      <c r="AP1050" s="4"/>
    </row>
    <row r="1051" spans="41:42" x14ac:dyDescent="0.25">
      <c r="AO1051" s="4"/>
      <c r="AP1051" s="4"/>
    </row>
    <row r="1052" spans="41:42" x14ac:dyDescent="0.25">
      <c r="AO1052" s="4"/>
      <c r="AP1052" s="4"/>
    </row>
    <row r="1053" spans="41:42" x14ac:dyDescent="0.25">
      <c r="AO1053" s="4"/>
      <c r="AP1053" s="4"/>
    </row>
    <row r="1054" spans="41:42" x14ac:dyDescent="0.25">
      <c r="AO1054" s="4"/>
      <c r="AP1054" s="4"/>
    </row>
    <row r="1055" spans="41:42" x14ac:dyDescent="0.25">
      <c r="AO1055" s="4"/>
      <c r="AP1055" s="4"/>
    </row>
    <row r="1056" spans="41:42" x14ac:dyDescent="0.25">
      <c r="AO1056" s="4"/>
      <c r="AP1056" s="4"/>
    </row>
    <row r="1057" spans="41:42" x14ac:dyDescent="0.25">
      <c r="AO1057" s="4"/>
      <c r="AP1057" s="4"/>
    </row>
    <row r="1058" spans="41:42" x14ac:dyDescent="0.25">
      <c r="AO1058" s="4"/>
      <c r="AP1058" s="4"/>
    </row>
    <row r="1059" spans="41:42" x14ac:dyDescent="0.25">
      <c r="AO1059" s="4"/>
      <c r="AP1059" s="4"/>
    </row>
    <row r="1060" spans="41:42" x14ac:dyDescent="0.25">
      <c r="AO1060" s="4"/>
      <c r="AP1060" s="4"/>
    </row>
    <row r="1061" spans="41:42" x14ac:dyDescent="0.25">
      <c r="AO1061" s="4"/>
      <c r="AP1061" s="4"/>
    </row>
    <row r="1062" spans="41:42" x14ac:dyDescent="0.25">
      <c r="AO1062" s="4"/>
      <c r="AP1062" s="4"/>
    </row>
    <row r="1063" spans="41:42" x14ac:dyDescent="0.25">
      <c r="AO1063" s="4"/>
      <c r="AP1063" s="4"/>
    </row>
    <row r="1064" spans="41:42" x14ac:dyDescent="0.25">
      <c r="AO1064" s="4"/>
      <c r="AP1064" s="4"/>
    </row>
    <row r="1065" spans="41:42" x14ac:dyDescent="0.25">
      <c r="AO1065" s="4"/>
      <c r="AP1065" s="4"/>
    </row>
    <row r="1066" spans="41:42" x14ac:dyDescent="0.25">
      <c r="AO1066" s="4"/>
      <c r="AP1066" s="4"/>
    </row>
    <row r="1067" spans="41:42" x14ac:dyDescent="0.25">
      <c r="AO1067" s="4"/>
      <c r="AP1067" s="4"/>
    </row>
    <row r="1068" spans="41:42" x14ac:dyDescent="0.25">
      <c r="AO1068" s="4"/>
      <c r="AP1068" s="4"/>
    </row>
    <row r="1069" spans="41:42" x14ac:dyDescent="0.25">
      <c r="AO1069" s="4"/>
      <c r="AP1069" s="4"/>
    </row>
    <row r="1070" spans="41:42" x14ac:dyDescent="0.25">
      <c r="AO1070" s="4"/>
      <c r="AP1070" s="4"/>
    </row>
    <row r="1071" spans="41:42" x14ac:dyDescent="0.25">
      <c r="AO1071" s="4"/>
      <c r="AP1071" s="4"/>
    </row>
    <row r="1072" spans="41:42" x14ac:dyDescent="0.25">
      <c r="AO1072" s="4"/>
      <c r="AP1072" s="4"/>
    </row>
    <row r="1073" spans="41:42" x14ac:dyDescent="0.25">
      <c r="AO1073" s="4"/>
      <c r="AP1073" s="4"/>
    </row>
    <row r="1074" spans="41:42" x14ac:dyDescent="0.25">
      <c r="AO1074" s="4"/>
      <c r="AP1074" s="4"/>
    </row>
    <row r="1075" spans="41:42" x14ac:dyDescent="0.25">
      <c r="AO1075" s="4"/>
      <c r="AP1075" s="4"/>
    </row>
    <row r="1076" spans="41:42" x14ac:dyDescent="0.25">
      <c r="AO1076" s="4"/>
      <c r="AP1076" s="4"/>
    </row>
    <row r="1077" spans="41:42" x14ac:dyDescent="0.25">
      <c r="AO1077" s="4"/>
      <c r="AP1077" s="4"/>
    </row>
    <row r="1078" spans="41:42" x14ac:dyDescent="0.25">
      <c r="AO1078" s="4"/>
      <c r="AP1078" s="4"/>
    </row>
    <row r="1079" spans="41:42" x14ac:dyDescent="0.25">
      <c r="AO1079" s="4"/>
      <c r="AP1079" s="4"/>
    </row>
    <row r="1080" spans="41:42" x14ac:dyDescent="0.25">
      <c r="AO1080" s="4"/>
      <c r="AP1080" s="4"/>
    </row>
    <row r="1081" spans="41:42" x14ac:dyDescent="0.25">
      <c r="AO1081" s="4"/>
      <c r="AP1081" s="4"/>
    </row>
    <row r="1082" spans="41:42" x14ac:dyDescent="0.25">
      <c r="AO1082" s="4"/>
      <c r="AP1082" s="4"/>
    </row>
    <row r="1083" spans="41:42" x14ac:dyDescent="0.25">
      <c r="AO1083" s="4"/>
      <c r="AP1083" s="4"/>
    </row>
    <row r="1084" spans="41:42" x14ac:dyDescent="0.25">
      <c r="AO1084" s="4"/>
      <c r="AP1084" s="4"/>
    </row>
    <row r="1085" spans="41:42" x14ac:dyDescent="0.25">
      <c r="AO1085" s="4"/>
      <c r="AP1085" s="4"/>
    </row>
    <row r="1086" spans="41:42" x14ac:dyDescent="0.25">
      <c r="AO1086" s="4"/>
      <c r="AP1086" s="4"/>
    </row>
    <row r="1087" spans="41:42" x14ac:dyDescent="0.25">
      <c r="AO1087" s="4"/>
      <c r="AP1087" s="4"/>
    </row>
    <row r="1088" spans="41:42" x14ac:dyDescent="0.25">
      <c r="AO1088" s="4"/>
      <c r="AP1088" s="4"/>
    </row>
    <row r="1089" spans="41:42" x14ac:dyDescent="0.25">
      <c r="AO1089" s="4"/>
      <c r="AP1089" s="4"/>
    </row>
    <row r="1090" spans="41:42" x14ac:dyDescent="0.25">
      <c r="AO1090" s="4"/>
      <c r="AP1090" s="4"/>
    </row>
    <row r="1091" spans="41:42" x14ac:dyDescent="0.25">
      <c r="AO1091" s="4"/>
      <c r="AP1091" s="4"/>
    </row>
    <row r="1092" spans="41:42" x14ac:dyDescent="0.25">
      <c r="AO1092" s="4"/>
      <c r="AP1092" s="4"/>
    </row>
    <row r="1093" spans="41:42" x14ac:dyDescent="0.25">
      <c r="AO1093" s="4"/>
      <c r="AP1093" s="4"/>
    </row>
    <row r="1094" spans="41:42" x14ac:dyDescent="0.25">
      <c r="AO1094" s="4"/>
      <c r="AP1094" s="4"/>
    </row>
    <row r="1095" spans="41:42" x14ac:dyDescent="0.25">
      <c r="AO1095" s="4"/>
      <c r="AP1095" s="4"/>
    </row>
    <row r="1096" spans="41:42" x14ac:dyDescent="0.25">
      <c r="AO1096" s="4"/>
      <c r="AP1096" s="4"/>
    </row>
    <row r="1097" spans="41:42" x14ac:dyDescent="0.25">
      <c r="AO1097" s="4"/>
      <c r="AP1097" s="4"/>
    </row>
    <row r="1098" spans="41:42" x14ac:dyDescent="0.25">
      <c r="AO1098" s="4"/>
      <c r="AP1098" s="4"/>
    </row>
    <row r="1099" spans="41:42" x14ac:dyDescent="0.25">
      <c r="AO1099" s="4"/>
      <c r="AP1099" s="4"/>
    </row>
    <row r="1100" spans="41:42" x14ac:dyDescent="0.25">
      <c r="AO1100" s="4"/>
      <c r="AP1100" s="4"/>
    </row>
    <row r="1101" spans="41:42" x14ac:dyDescent="0.25">
      <c r="AO1101" s="4"/>
      <c r="AP1101" s="4"/>
    </row>
    <row r="1102" spans="41:42" x14ac:dyDescent="0.25">
      <c r="AO1102" s="4"/>
      <c r="AP1102" s="4"/>
    </row>
    <row r="1103" spans="41:42" x14ac:dyDescent="0.25">
      <c r="AO1103" s="4"/>
      <c r="AP1103" s="4"/>
    </row>
    <row r="1104" spans="41:42" x14ac:dyDescent="0.25">
      <c r="AO1104" s="4"/>
      <c r="AP1104" s="4"/>
    </row>
    <row r="1105" spans="41:42" x14ac:dyDescent="0.25">
      <c r="AO1105" s="4"/>
      <c r="AP1105" s="4"/>
    </row>
    <row r="1106" spans="41:42" x14ac:dyDescent="0.25">
      <c r="AO1106" s="4"/>
      <c r="AP1106" s="4"/>
    </row>
    <row r="1107" spans="41:42" x14ac:dyDescent="0.25">
      <c r="AO1107" s="4"/>
      <c r="AP1107" s="4"/>
    </row>
    <row r="1108" spans="41:42" x14ac:dyDescent="0.25">
      <c r="AO1108" s="4"/>
      <c r="AP1108" s="4"/>
    </row>
    <row r="1109" spans="41:42" x14ac:dyDescent="0.25">
      <c r="AO1109" s="4"/>
      <c r="AP1109" s="4"/>
    </row>
    <row r="1110" spans="41:42" x14ac:dyDescent="0.25">
      <c r="AO1110" s="4"/>
      <c r="AP1110" s="4"/>
    </row>
    <row r="1111" spans="41:42" x14ac:dyDescent="0.25">
      <c r="AO1111" s="4"/>
      <c r="AP1111" s="4"/>
    </row>
    <row r="1112" spans="41:42" x14ac:dyDescent="0.25">
      <c r="AO1112" s="4"/>
      <c r="AP1112" s="4"/>
    </row>
    <row r="1113" spans="41:42" x14ac:dyDescent="0.25">
      <c r="AO1113" s="4"/>
      <c r="AP1113" s="4"/>
    </row>
    <row r="1114" spans="41:42" x14ac:dyDescent="0.25">
      <c r="AO1114" s="4"/>
      <c r="AP1114" s="4"/>
    </row>
    <row r="1115" spans="41:42" x14ac:dyDescent="0.25">
      <c r="AO1115" s="4"/>
      <c r="AP1115" s="4"/>
    </row>
    <row r="1116" spans="41:42" x14ac:dyDescent="0.25">
      <c r="AO1116" s="4"/>
      <c r="AP1116" s="4"/>
    </row>
    <row r="1117" spans="41:42" x14ac:dyDescent="0.25">
      <c r="AO1117" s="4"/>
      <c r="AP1117" s="4"/>
    </row>
    <row r="1118" spans="41:42" x14ac:dyDescent="0.25">
      <c r="AO1118" s="4"/>
      <c r="AP1118" s="4"/>
    </row>
    <row r="1119" spans="41:42" x14ac:dyDescent="0.25">
      <c r="AO1119" s="4"/>
      <c r="AP1119" s="4"/>
    </row>
    <row r="1120" spans="41:42" x14ac:dyDescent="0.25">
      <c r="AO1120" s="4"/>
      <c r="AP1120" s="4"/>
    </row>
    <row r="1121" spans="41:42" x14ac:dyDescent="0.25">
      <c r="AO1121" s="4"/>
      <c r="AP1121" s="4"/>
    </row>
    <row r="1122" spans="41:42" x14ac:dyDescent="0.25">
      <c r="AO1122" s="4"/>
      <c r="AP1122" s="4"/>
    </row>
    <row r="1123" spans="41:42" x14ac:dyDescent="0.25">
      <c r="AO1123" s="4"/>
      <c r="AP1123" s="4"/>
    </row>
    <row r="1124" spans="41:42" x14ac:dyDescent="0.25">
      <c r="AO1124" s="4"/>
      <c r="AP1124" s="4"/>
    </row>
    <row r="1125" spans="41:42" x14ac:dyDescent="0.25">
      <c r="AO1125" s="4"/>
      <c r="AP1125" s="4"/>
    </row>
    <row r="1126" spans="41:42" x14ac:dyDescent="0.25">
      <c r="AO1126" s="4"/>
      <c r="AP1126" s="4"/>
    </row>
    <row r="1127" spans="41:42" x14ac:dyDescent="0.25">
      <c r="AO1127" s="4"/>
      <c r="AP1127" s="4"/>
    </row>
    <row r="1128" spans="41:42" x14ac:dyDescent="0.25">
      <c r="AO1128" s="4"/>
      <c r="AP1128" s="4"/>
    </row>
    <row r="1129" spans="41:42" x14ac:dyDescent="0.25">
      <c r="AO1129" s="4"/>
      <c r="AP1129" s="4"/>
    </row>
    <row r="1130" spans="41:42" x14ac:dyDescent="0.25">
      <c r="AO1130" s="4"/>
      <c r="AP1130" s="4"/>
    </row>
    <row r="1131" spans="41:42" x14ac:dyDescent="0.25">
      <c r="AO1131" s="4"/>
      <c r="AP1131" s="4"/>
    </row>
    <row r="1132" spans="41:42" x14ac:dyDescent="0.25">
      <c r="AO1132" s="4"/>
      <c r="AP1132" s="4"/>
    </row>
    <row r="1133" spans="41:42" x14ac:dyDescent="0.25">
      <c r="AO1133" s="4"/>
      <c r="AP1133" s="4"/>
    </row>
    <row r="1134" spans="41:42" x14ac:dyDescent="0.25">
      <c r="AO1134" s="4"/>
      <c r="AP1134" s="4"/>
    </row>
    <row r="1135" spans="41:42" x14ac:dyDescent="0.25">
      <c r="AO1135" s="4"/>
      <c r="AP1135" s="4"/>
    </row>
    <row r="1136" spans="41:42" x14ac:dyDescent="0.25">
      <c r="AO1136" s="4"/>
      <c r="AP1136" s="4"/>
    </row>
    <row r="1137" spans="41:42" x14ac:dyDescent="0.25">
      <c r="AO1137" s="4"/>
      <c r="AP1137" s="4"/>
    </row>
    <row r="1138" spans="41:42" x14ac:dyDescent="0.25">
      <c r="AO1138" s="4"/>
      <c r="AP1138" s="4"/>
    </row>
    <row r="1139" spans="41:42" x14ac:dyDescent="0.25">
      <c r="AO1139" s="4"/>
      <c r="AP1139" s="4"/>
    </row>
    <row r="1140" spans="41:42" x14ac:dyDescent="0.25">
      <c r="AO1140" s="4"/>
      <c r="AP1140" s="4"/>
    </row>
    <row r="1141" spans="41:42" x14ac:dyDescent="0.25">
      <c r="AO1141" s="4"/>
      <c r="AP1141" s="4"/>
    </row>
    <row r="1142" spans="41:42" x14ac:dyDescent="0.25">
      <c r="AO1142" s="4"/>
      <c r="AP1142" s="4"/>
    </row>
    <row r="1143" spans="41:42" x14ac:dyDescent="0.25">
      <c r="AO1143" s="4"/>
      <c r="AP1143" s="4"/>
    </row>
    <row r="1144" spans="41:42" x14ac:dyDescent="0.25">
      <c r="AO1144" s="4"/>
      <c r="AP1144" s="4"/>
    </row>
    <row r="1145" spans="41:42" x14ac:dyDescent="0.25">
      <c r="AO1145" s="4"/>
      <c r="AP1145" s="4"/>
    </row>
    <row r="1146" spans="41:42" x14ac:dyDescent="0.25">
      <c r="AO1146" s="4"/>
      <c r="AP1146" s="4"/>
    </row>
    <row r="1147" spans="41:42" x14ac:dyDescent="0.25">
      <c r="AO1147" s="4"/>
      <c r="AP1147" s="4"/>
    </row>
    <row r="1148" spans="41:42" x14ac:dyDescent="0.25">
      <c r="AO1148" s="4"/>
      <c r="AP1148" s="4"/>
    </row>
    <row r="1149" spans="41:42" x14ac:dyDescent="0.25">
      <c r="AO1149" s="4"/>
      <c r="AP1149" s="4"/>
    </row>
    <row r="1150" spans="41:42" x14ac:dyDescent="0.25">
      <c r="AO1150" s="4"/>
      <c r="AP1150" s="4"/>
    </row>
    <row r="1151" spans="41:42" x14ac:dyDescent="0.25">
      <c r="AO1151" s="4"/>
      <c r="AP1151" s="4"/>
    </row>
    <row r="1152" spans="41:42" x14ac:dyDescent="0.25">
      <c r="AO1152" s="4"/>
      <c r="AP1152" s="4"/>
    </row>
    <row r="1153" spans="41:42" x14ac:dyDescent="0.25">
      <c r="AO1153" s="4"/>
      <c r="AP1153" s="4"/>
    </row>
    <row r="1154" spans="41:42" x14ac:dyDescent="0.25">
      <c r="AO1154" s="4"/>
      <c r="AP1154" s="4"/>
    </row>
    <row r="1155" spans="41:42" x14ac:dyDescent="0.25">
      <c r="AO1155" s="4"/>
      <c r="AP1155" s="4"/>
    </row>
    <row r="1156" spans="41:42" x14ac:dyDescent="0.25">
      <c r="AO1156" s="4"/>
      <c r="AP1156" s="4"/>
    </row>
    <row r="1157" spans="41:42" x14ac:dyDescent="0.25">
      <c r="AO1157" s="4"/>
      <c r="AP1157" s="4"/>
    </row>
    <row r="1158" spans="41:42" x14ac:dyDescent="0.25">
      <c r="AO1158" s="4"/>
      <c r="AP1158" s="4"/>
    </row>
    <row r="1159" spans="41:42" x14ac:dyDescent="0.25">
      <c r="AO1159" s="4"/>
      <c r="AP1159" s="4"/>
    </row>
    <row r="1160" spans="41:42" x14ac:dyDescent="0.25">
      <c r="AO1160" s="4"/>
      <c r="AP1160" s="4"/>
    </row>
    <row r="1161" spans="41:42" x14ac:dyDescent="0.25">
      <c r="AO1161" s="4"/>
      <c r="AP1161" s="4"/>
    </row>
    <row r="1162" spans="41:42" x14ac:dyDescent="0.25">
      <c r="AO1162" s="4"/>
      <c r="AP1162" s="4"/>
    </row>
    <row r="1163" spans="41:42" x14ac:dyDescent="0.25">
      <c r="AO1163" s="4"/>
      <c r="AP1163" s="4"/>
    </row>
    <row r="1164" spans="41:42" x14ac:dyDescent="0.25">
      <c r="AO1164" s="4"/>
      <c r="AP1164" s="4"/>
    </row>
    <row r="1165" spans="41:42" x14ac:dyDescent="0.25">
      <c r="AO1165" s="4"/>
      <c r="AP1165" s="4"/>
    </row>
    <row r="1166" spans="41:42" x14ac:dyDescent="0.25">
      <c r="AO1166" s="4"/>
      <c r="AP1166" s="4"/>
    </row>
    <row r="1167" spans="41:42" x14ac:dyDescent="0.25">
      <c r="AO1167" s="4"/>
      <c r="AP1167" s="4"/>
    </row>
    <row r="1168" spans="41:42" x14ac:dyDescent="0.25">
      <c r="AO1168" s="4"/>
      <c r="AP1168" s="4"/>
    </row>
    <row r="1169" spans="41:42" x14ac:dyDescent="0.25">
      <c r="AO1169" s="4"/>
      <c r="AP1169" s="4"/>
    </row>
    <row r="1170" spans="41:42" x14ac:dyDescent="0.25">
      <c r="AO1170" s="4"/>
      <c r="AP1170" s="4"/>
    </row>
    <row r="1171" spans="41:42" x14ac:dyDescent="0.25">
      <c r="AO1171" s="4"/>
      <c r="AP1171" s="4"/>
    </row>
    <row r="1172" spans="41:42" x14ac:dyDescent="0.25">
      <c r="AO1172" s="4"/>
      <c r="AP1172" s="4"/>
    </row>
    <row r="1173" spans="41:42" x14ac:dyDescent="0.25">
      <c r="AO1173" s="4"/>
      <c r="AP1173" s="4"/>
    </row>
    <row r="1174" spans="41:42" x14ac:dyDescent="0.25">
      <c r="AO1174" s="4"/>
      <c r="AP1174" s="4"/>
    </row>
    <row r="1175" spans="41:42" x14ac:dyDescent="0.25">
      <c r="AO1175" s="4"/>
      <c r="AP1175" s="4"/>
    </row>
    <row r="1176" spans="41:42" x14ac:dyDescent="0.25">
      <c r="AO1176" s="4"/>
      <c r="AP1176" s="4"/>
    </row>
    <row r="1177" spans="41:42" x14ac:dyDescent="0.25">
      <c r="AO1177" s="4"/>
      <c r="AP1177" s="4"/>
    </row>
    <row r="1178" spans="41:42" x14ac:dyDescent="0.25">
      <c r="AO1178" s="4"/>
      <c r="AP1178" s="4"/>
    </row>
    <row r="1179" spans="41:42" x14ac:dyDescent="0.25">
      <c r="AO1179" s="4"/>
      <c r="AP1179" s="4"/>
    </row>
    <row r="1180" spans="41:42" x14ac:dyDescent="0.25">
      <c r="AO1180" s="4"/>
      <c r="AP1180" s="4"/>
    </row>
    <row r="1181" spans="41:42" x14ac:dyDescent="0.25">
      <c r="AO1181" s="4"/>
      <c r="AP1181" s="4"/>
    </row>
    <row r="1182" spans="41:42" x14ac:dyDescent="0.25">
      <c r="AO1182" s="4"/>
      <c r="AP1182" s="4"/>
    </row>
    <row r="1183" spans="41:42" x14ac:dyDescent="0.25">
      <c r="AO1183" s="4"/>
      <c r="AP1183" s="4"/>
    </row>
    <row r="1184" spans="41:42" x14ac:dyDescent="0.25">
      <c r="AO1184" s="4"/>
      <c r="AP1184" s="4"/>
    </row>
    <row r="1185" spans="41:42" x14ac:dyDescent="0.25">
      <c r="AO1185" s="4"/>
      <c r="AP1185" s="4"/>
    </row>
    <row r="1186" spans="41:42" x14ac:dyDescent="0.25">
      <c r="AO1186" s="4"/>
      <c r="AP1186" s="4"/>
    </row>
    <row r="1187" spans="41:42" x14ac:dyDescent="0.25">
      <c r="AO1187" s="4"/>
      <c r="AP1187" s="4"/>
    </row>
    <row r="1188" spans="41:42" x14ac:dyDescent="0.25">
      <c r="AO1188" s="4"/>
      <c r="AP1188" s="4"/>
    </row>
    <row r="1189" spans="41:42" x14ac:dyDescent="0.25">
      <c r="AO1189" s="4"/>
      <c r="AP1189" s="4"/>
    </row>
    <row r="1190" spans="41:42" x14ac:dyDescent="0.25">
      <c r="AO1190" s="4"/>
      <c r="AP1190" s="4"/>
    </row>
    <row r="1191" spans="41:42" x14ac:dyDescent="0.25">
      <c r="AO1191" s="4"/>
      <c r="AP1191" s="4"/>
    </row>
    <row r="1192" spans="41:42" x14ac:dyDescent="0.25">
      <c r="AO1192" s="4"/>
      <c r="AP1192" s="4"/>
    </row>
    <row r="1193" spans="41:42" x14ac:dyDescent="0.25">
      <c r="AO1193" s="4"/>
      <c r="AP1193" s="4"/>
    </row>
    <row r="1194" spans="41:42" x14ac:dyDescent="0.25">
      <c r="AO1194" s="4"/>
      <c r="AP1194" s="4"/>
    </row>
    <row r="1195" spans="41:42" x14ac:dyDescent="0.25">
      <c r="AO1195" s="4"/>
      <c r="AP1195" s="4"/>
    </row>
    <row r="1196" spans="41:42" x14ac:dyDescent="0.25">
      <c r="AO1196" s="4"/>
      <c r="AP1196" s="4"/>
    </row>
    <row r="1197" spans="41:42" x14ac:dyDescent="0.25">
      <c r="AO1197" s="4"/>
      <c r="AP1197" s="4"/>
    </row>
    <row r="1198" spans="41:42" x14ac:dyDescent="0.25">
      <c r="AO1198" s="4"/>
      <c r="AP1198" s="4"/>
    </row>
    <row r="1199" spans="41:42" x14ac:dyDescent="0.25">
      <c r="AO1199" s="4"/>
      <c r="AP1199" s="4"/>
    </row>
    <row r="1200" spans="41:42" x14ac:dyDescent="0.25">
      <c r="AO1200" s="4"/>
      <c r="AP1200" s="4"/>
    </row>
    <row r="1201" spans="41:42" x14ac:dyDescent="0.25">
      <c r="AO1201" s="4"/>
      <c r="AP1201" s="4"/>
    </row>
    <row r="1202" spans="41:42" x14ac:dyDescent="0.25">
      <c r="AO1202" s="4"/>
      <c r="AP1202" s="4"/>
    </row>
    <row r="1203" spans="41:42" x14ac:dyDescent="0.25">
      <c r="AO1203" s="4"/>
      <c r="AP1203" s="4"/>
    </row>
    <row r="1204" spans="41:42" x14ac:dyDescent="0.25">
      <c r="AO1204" s="4"/>
      <c r="AP1204" s="4"/>
    </row>
    <row r="1205" spans="41:42" x14ac:dyDescent="0.25">
      <c r="AO1205" s="4"/>
      <c r="AP1205" s="4"/>
    </row>
    <row r="1206" spans="41:42" x14ac:dyDescent="0.25">
      <c r="AO1206" s="4"/>
      <c r="AP1206" s="4"/>
    </row>
    <row r="1207" spans="41:42" x14ac:dyDescent="0.25">
      <c r="AO1207" s="4"/>
      <c r="AP1207" s="4"/>
    </row>
    <row r="1208" spans="41:42" x14ac:dyDescent="0.25">
      <c r="AO1208" s="4"/>
      <c r="AP1208" s="4"/>
    </row>
    <row r="1209" spans="41:42" x14ac:dyDescent="0.25">
      <c r="AO1209" s="4"/>
      <c r="AP1209" s="4"/>
    </row>
    <row r="1210" spans="41:42" x14ac:dyDescent="0.25">
      <c r="AO1210" s="4"/>
      <c r="AP1210" s="4"/>
    </row>
    <row r="1211" spans="41:42" x14ac:dyDescent="0.25">
      <c r="AO1211" s="4"/>
      <c r="AP1211" s="4"/>
    </row>
    <row r="1212" spans="41:42" x14ac:dyDescent="0.25">
      <c r="AO1212" s="4"/>
      <c r="AP1212" s="4"/>
    </row>
    <row r="1213" spans="41:42" x14ac:dyDescent="0.25">
      <c r="AO1213" s="4"/>
      <c r="AP1213" s="4"/>
    </row>
    <row r="1214" spans="41:42" x14ac:dyDescent="0.25">
      <c r="AO1214" s="4"/>
      <c r="AP1214" s="4"/>
    </row>
    <row r="1215" spans="41:42" x14ac:dyDescent="0.25">
      <c r="AO1215" s="4"/>
      <c r="AP1215" s="4"/>
    </row>
    <row r="1216" spans="41:42" x14ac:dyDescent="0.25">
      <c r="AO1216" s="4"/>
      <c r="AP1216" s="4"/>
    </row>
    <row r="1217" spans="41:42" x14ac:dyDescent="0.25">
      <c r="AO1217" s="4"/>
      <c r="AP1217" s="4"/>
    </row>
    <row r="1218" spans="41:42" x14ac:dyDescent="0.25">
      <c r="AO1218" s="4"/>
      <c r="AP1218" s="4"/>
    </row>
    <row r="1219" spans="41:42" x14ac:dyDescent="0.25">
      <c r="AO1219" s="4"/>
      <c r="AP1219" s="4"/>
    </row>
    <row r="1220" spans="41:42" x14ac:dyDescent="0.25">
      <c r="AO1220" s="4"/>
      <c r="AP1220" s="4"/>
    </row>
    <row r="1221" spans="41:42" x14ac:dyDescent="0.25">
      <c r="AO1221" s="4"/>
      <c r="AP1221" s="4"/>
    </row>
    <row r="1222" spans="41:42" x14ac:dyDescent="0.25">
      <c r="AO1222" s="4"/>
      <c r="AP1222" s="4"/>
    </row>
    <row r="1223" spans="41:42" x14ac:dyDescent="0.25">
      <c r="AO1223" s="4"/>
      <c r="AP1223" s="4"/>
    </row>
    <row r="1224" spans="41:42" x14ac:dyDescent="0.25">
      <c r="AO1224" s="4"/>
      <c r="AP1224" s="4"/>
    </row>
    <row r="1225" spans="41:42" x14ac:dyDescent="0.25">
      <c r="AO1225" s="4"/>
      <c r="AP1225" s="4"/>
    </row>
    <row r="1226" spans="41:42" x14ac:dyDescent="0.25">
      <c r="AO1226" s="4"/>
      <c r="AP1226" s="4"/>
    </row>
    <row r="1227" spans="41:42" x14ac:dyDescent="0.25">
      <c r="AO1227" s="4"/>
      <c r="AP1227" s="4"/>
    </row>
    <row r="1228" spans="41:42" x14ac:dyDescent="0.25">
      <c r="AO1228" s="4"/>
      <c r="AP1228" s="4"/>
    </row>
    <row r="1229" spans="41:42" x14ac:dyDescent="0.25">
      <c r="AO1229" s="4"/>
      <c r="AP1229" s="4"/>
    </row>
    <row r="1230" spans="41:42" x14ac:dyDescent="0.25">
      <c r="AO1230" s="4"/>
      <c r="AP1230" s="4"/>
    </row>
    <row r="1231" spans="41:42" x14ac:dyDescent="0.25">
      <c r="AO1231" s="4"/>
      <c r="AP1231" s="4"/>
    </row>
    <row r="1232" spans="41:42" x14ac:dyDescent="0.25">
      <c r="AO1232" s="4"/>
      <c r="AP1232" s="4"/>
    </row>
    <row r="1233" spans="41:42" x14ac:dyDescent="0.25">
      <c r="AO1233" s="4"/>
      <c r="AP1233" s="4"/>
    </row>
    <row r="1234" spans="41:42" x14ac:dyDescent="0.25">
      <c r="AO1234" s="4"/>
      <c r="AP1234" s="4"/>
    </row>
    <row r="1235" spans="41:42" x14ac:dyDescent="0.25">
      <c r="AO1235" s="4"/>
      <c r="AP1235" s="4"/>
    </row>
    <row r="1236" spans="41:42" x14ac:dyDescent="0.25">
      <c r="AO1236" s="4"/>
      <c r="AP1236" s="4"/>
    </row>
    <row r="1237" spans="41:42" x14ac:dyDescent="0.25">
      <c r="AO1237" s="4"/>
      <c r="AP1237" s="4"/>
    </row>
    <row r="1238" spans="41:42" x14ac:dyDescent="0.25">
      <c r="AO1238" s="4"/>
      <c r="AP1238" s="4"/>
    </row>
    <row r="1239" spans="41:42" x14ac:dyDescent="0.25">
      <c r="AO1239" s="4"/>
      <c r="AP1239" s="4"/>
    </row>
    <row r="1240" spans="41:42" x14ac:dyDescent="0.25">
      <c r="AO1240" s="4"/>
      <c r="AP1240" s="4"/>
    </row>
    <row r="1241" spans="41:42" x14ac:dyDescent="0.25">
      <c r="AO1241" s="4"/>
      <c r="AP1241" s="4"/>
    </row>
    <row r="1242" spans="41:42" x14ac:dyDescent="0.25">
      <c r="AO1242" s="4"/>
      <c r="AP1242" s="4"/>
    </row>
    <row r="1243" spans="41:42" x14ac:dyDescent="0.25">
      <c r="AO1243" s="4"/>
      <c r="AP1243" s="4"/>
    </row>
    <row r="1244" spans="41:42" x14ac:dyDescent="0.25">
      <c r="AO1244" s="4"/>
      <c r="AP1244" s="4"/>
    </row>
    <row r="1245" spans="41:42" x14ac:dyDescent="0.25">
      <c r="AO1245" s="4"/>
      <c r="AP1245" s="4"/>
    </row>
    <row r="1246" spans="41:42" x14ac:dyDescent="0.25">
      <c r="AO1246" s="4"/>
      <c r="AP1246" s="4"/>
    </row>
    <row r="1247" spans="41:42" x14ac:dyDescent="0.25">
      <c r="AO1247" s="4"/>
      <c r="AP1247" s="4"/>
    </row>
    <row r="1248" spans="41:42" x14ac:dyDescent="0.25">
      <c r="AO1248" s="4"/>
      <c r="AP1248" s="4"/>
    </row>
    <row r="1249" spans="41:42" x14ac:dyDescent="0.25">
      <c r="AO1249" s="4"/>
      <c r="AP1249" s="4"/>
    </row>
  </sheetData>
  <autoFilter ref="AK2:AN252" xr:uid="{00000000-0009-0000-0000-000000000000}">
    <sortState xmlns:xlrd2="http://schemas.microsoft.com/office/spreadsheetml/2017/richdata2" ref="AK3:AN431">
      <sortCondition ref="AN2:AN252"/>
    </sortState>
  </autoFilter>
  <mergeCells count="3">
    <mergeCell ref="A6:A29"/>
    <mergeCell ref="G2:H2"/>
    <mergeCell ref="D2:E2"/>
  </mergeCells>
  <conditionalFormatting sqref="C6:I29 K17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:I31">
    <cfRule type="cellIs" dxfId="2" priority="4" operator="greaterThan">
      <formula>$K$31</formula>
    </cfRule>
  </conditionalFormatting>
  <conditionalFormatting sqref="K17:P17">
    <cfRule type="expression" dxfId="1" priority="1">
      <formula>$K$17=""</formula>
    </cfRule>
  </conditionalFormatting>
  <pageMargins left="0.7" right="0.7" top="0.75" bottom="0.75" header="0.3" footer="0.3"/>
  <pageSetup orientation="portrait" verticalDpi="599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" id="{95959219-05B9-40FE-A4D0-9D5C0C563964}">
            <xm:f>OR($D$2=Lists!$P$22,$D$2=Lists!$P$23,$D$2=Lists!$P$24,$D$2=Lists!$P$25)</xm:f>
            <x14:dxf>
              <font>
                <color auto="1"/>
              </font>
            </x14:dxf>
          </x14:cfRule>
          <xm:sqref>C33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000-000000000000}">
          <x14:formula1>
            <xm:f>Lists!$P$17:$P$26</xm:f>
          </x14:formula1>
          <xm:sqref>D2:E2</xm:sqref>
        </x14:dataValidation>
        <x14:dataValidation type="list" allowBlank="1" showInputMessage="1" showErrorMessage="1" xr:uid="{00000000-0002-0000-0000-000001000000}">
          <x14:formula1>
            <xm:f>Lists!$K$2:$K$13</xm:f>
          </x14:formula1>
          <xm:sqref>G2</xm:sqref>
        </x14:dataValidation>
        <x14:dataValidation type="list" allowBlank="1" showInputMessage="1" showErrorMessage="1" xr:uid="{00000000-0002-0000-0000-000002000000}">
          <x14:formula1>
            <xm:f>Lists!$N$17:$N$19</xm:f>
          </x14:formula1>
          <xm:sqref>K15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B1:V30"/>
  <sheetViews>
    <sheetView topLeftCell="D1" zoomScale="85" zoomScaleNormal="85" workbookViewId="0">
      <selection activeCell="G40" sqref="G40:G41"/>
    </sheetView>
  </sheetViews>
  <sheetFormatPr defaultColWidth="9.140625" defaultRowHeight="14.25" x14ac:dyDescent="0.2"/>
  <cols>
    <col min="1" max="1" width="2.5703125" style="25" customWidth="1"/>
    <col min="2" max="2" width="6.5703125" style="25" customWidth="1"/>
    <col min="3" max="3" width="11.85546875" style="25" bestFit="1" customWidth="1"/>
    <col min="4" max="4" width="2.5703125" style="25" customWidth="1"/>
    <col min="5" max="5" width="11.42578125" style="25" bestFit="1" customWidth="1"/>
    <col min="6" max="6" width="9.140625" style="25"/>
    <col min="7" max="7" width="12.42578125" style="25" bestFit="1" customWidth="1"/>
    <col min="8" max="8" width="9.140625" style="25"/>
    <col min="9" max="9" width="2.5703125" style="25" customWidth="1"/>
    <col min="10" max="10" width="13.85546875" style="25" bestFit="1" customWidth="1"/>
    <col min="11" max="11" width="17.5703125" style="25" bestFit="1" customWidth="1"/>
    <col min="12" max="13" width="9.140625" style="25"/>
    <col min="14" max="15" width="17.42578125" style="25" bestFit="1" customWidth="1"/>
    <col min="16" max="16" width="18.42578125" style="25" bestFit="1" customWidth="1"/>
    <col min="17" max="17" width="2.5703125" style="25" customWidth="1"/>
    <col min="18" max="18" width="10.42578125" style="25" bestFit="1" customWidth="1"/>
    <col min="19" max="19" width="11.42578125" style="25" bestFit="1" customWidth="1"/>
    <col min="20" max="20" width="9.85546875" style="25" bestFit="1" customWidth="1"/>
    <col min="21" max="21" width="2.5703125" style="25" customWidth="1"/>
    <col min="22" max="16384" width="9.140625" style="25"/>
  </cols>
  <sheetData>
    <row r="1" spans="2:20" ht="15" x14ac:dyDescent="0.25">
      <c r="B1" s="23" t="s">
        <v>43</v>
      </c>
      <c r="C1" s="24" t="s">
        <v>44</v>
      </c>
      <c r="E1" s="23" t="s">
        <v>45</v>
      </c>
      <c r="F1" s="23" t="s">
        <v>46</v>
      </c>
      <c r="G1" s="23" t="s">
        <v>47</v>
      </c>
      <c r="H1" s="23" t="s">
        <v>48</v>
      </c>
      <c r="J1" s="23" t="s">
        <v>49</v>
      </c>
      <c r="K1" s="23" t="s">
        <v>50</v>
      </c>
      <c r="L1" s="23" t="s">
        <v>51</v>
      </c>
      <c r="M1" s="23" t="s">
        <v>52</v>
      </c>
      <c r="N1" s="23" t="s">
        <v>53</v>
      </c>
      <c r="O1" s="23" t="s">
        <v>54</v>
      </c>
      <c r="P1" s="23" t="s">
        <v>55</v>
      </c>
      <c r="R1" s="24" t="s">
        <v>56</v>
      </c>
      <c r="S1" s="24" t="s">
        <v>57</v>
      </c>
      <c r="T1" s="24" t="s">
        <v>58</v>
      </c>
    </row>
    <row r="2" spans="2:20" x14ac:dyDescent="0.2">
      <c r="B2" s="26">
        <f>IF($B$13=3,0,IF($B$13=2,1,IF($B$13=1,2,-7)))</f>
        <v>0</v>
      </c>
      <c r="C2" s="27" t="s">
        <v>59</v>
      </c>
      <c r="E2" s="27" t="s">
        <v>60</v>
      </c>
      <c r="F2" s="28">
        <v>1</v>
      </c>
      <c r="G2" s="27" t="s">
        <v>61</v>
      </c>
      <c r="H2" s="28">
        <v>31</v>
      </c>
      <c r="J2" s="27" t="s">
        <v>62</v>
      </c>
      <c r="K2" s="27" t="s">
        <v>63</v>
      </c>
      <c r="L2" s="27" t="s">
        <v>64</v>
      </c>
      <c r="M2" s="27" t="s">
        <v>65</v>
      </c>
      <c r="N2" s="27" t="s">
        <v>66</v>
      </c>
      <c r="O2" s="27" t="s">
        <v>67</v>
      </c>
      <c r="P2" s="27" t="s">
        <v>68</v>
      </c>
      <c r="R2" s="27">
        <v>1</v>
      </c>
      <c r="S2" s="29">
        <v>0.95833333333333337</v>
      </c>
      <c r="T2" s="27" t="s">
        <v>69</v>
      </c>
    </row>
    <row r="3" spans="2:20" x14ac:dyDescent="0.2">
      <c r="B3" s="26">
        <f>+B2+1</f>
        <v>1</v>
      </c>
      <c r="C3" s="27" t="s">
        <v>70</v>
      </c>
      <c r="E3" s="27" t="s">
        <v>71</v>
      </c>
      <c r="F3" s="28">
        <v>2</v>
      </c>
      <c r="G3" s="27" t="s">
        <v>72</v>
      </c>
      <c r="H3" s="28">
        <v>28</v>
      </c>
      <c r="J3" s="27" t="s">
        <v>73</v>
      </c>
      <c r="K3" s="27" t="s">
        <v>74</v>
      </c>
      <c r="L3" s="27" t="s">
        <v>75</v>
      </c>
      <c r="M3" s="27" t="s">
        <v>76</v>
      </c>
      <c r="N3" s="27" t="s">
        <v>77</v>
      </c>
      <c r="O3" s="27" t="s">
        <v>78</v>
      </c>
      <c r="P3" s="27" t="s">
        <v>79</v>
      </c>
      <c r="R3" s="27">
        <v>2</v>
      </c>
      <c r="S3" s="29">
        <v>0.29166666666666669</v>
      </c>
      <c r="T3" s="27" t="s">
        <v>80</v>
      </c>
    </row>
    <row r="4" spans="2:20" x14ac:dyDescent="0.2">
      <c r="B4" s="26">
        <f t="shared" ref="B4:B7" si="0">+B3+1</f>
        <v>2</v>
      </c>
      <c r="C4" s="27" t="s">
        <v>81</v>
      </c>
      <c r="E4" s="27" t="s">
        <v>82</v>
      </c>
      <c r="F4" s="28">
        <v>3</v>
      </c>
      <c r="G4" s="27" t="s">
        <v>83</v>
      </c>
      <c r="H4" s="28">
        <v>31</v>
      </c>
      <c r="J4" s="27" t="s">
        <v>84</v>
      </c>
      <c r="K4" s="27" t="s">
        <v>85</v>
      </c>
      <c r="L4" s="27" t="s">
        <v>86</v>
      </c>
      <c r="M4" s="27" t="s">
        <v>87</v>
      </c>
      <c r="N4" s="27" t="s">
        <v>88</v>
      </c>
      <c r="O4" s="27" t="s">
        <v>89</v>
      </c>
      <c r="P4" s="27" t="s">
        <v>79</v>
      </c>
      <c r="R4" s="27">
        <v>3</v>
      </c>
      <c r="S4" s="29">
        <v>0.625</v>
      </c>
      <c r="T4" s="27" t="s">
        <v>90</v>
      </c>
    </row>
    <row r="5" spans="2:20" x14ac:dyDescent="0.2">
      <c r="B5" s="26">
        <f t="shared" si="0"/>
        <v>3</v>
      </c>
      <c r="C5" s="27" t="s">
        <v>91</v>
      </c>
      <c r="E5" s="27" t="s">
        <v>92</v>
      </c>
      <c r="F5" s="28">
        <v>4</v>
      </c>
      <c r="G5" s="27" t="s">
        <v>93</v>
      </c>
      <c r="H5" s="28">
        <v>30</v>
      </c>
      <c r="J5" s="27" t="s">
        <v>94</v>
      </c>
      <c r="K5" s="27" t="s">
        <v>95</v>
      </c>
      <c r="L5" s="27" t="s">
        <v>96</v>
      </c>
      <c r="M5" s="27" t="s">
        <v>97</v>
      </c>
      <c r="N5" s="27" t="s">
        <v>98</v>
      </c>
      <c r="O5" s="27" t="s">
        <v>99</v>
      </c>
      <c r="P5" s="27" t="s">
        <v>100</v>
      </c>
    </row>
    <row r="6" spans="2:20" x14ac:dyDescent="0.2">
      <c r="B6" s="26">
        <f t="shared" si="0"/>
        <v>4</v>
      </c>
      <c r="C6" s="27" t="s">
        <v>101</v>
      </c>
      <c r="E6" s="27" t="s">
        <v>102</v>
      </c>
      <c r="F6" s="28">
        <v>5</v>
      </c>
      <c r="G6" s="27" t="s">
        <v>102</v>
      </c>
      <c r="H6" s="28">
        <v>31</v>
      </c>
      <c r="J6" s="27" t="s">
        <v>103</v>
      </c>
      <c r="K6" s="27" t="s">
        <v>104</v>
      </c>
      <c r="L6" s="27" t="s">
        <v>105</v>
      </c>
      <c r="M6" s="27" t="s">
        <v>106</v>
      </c>
      <c r="N6" s="27" t="s">
        <v>107</v>
      </c>
      <c r="O6" s="27" t="s">
        <v>78</v>
      </c>
      <c r="P6" s="27" t="s">
        <v>108</v>
      </c>
    </row>
    <row r="7" spans="2:20" ht="15" x14ac:dyDescent="0.25">
      <c r="B7" s="26">
        <f t="shared" si="0"/>
        <v>5</v>
      </c>
      <c r="C7" s="27" t="s">
        <v>109</v>
      </c>
      <c r="E7" s="27" t="s">
        <v>110</v>
      </c>
      <c r="F7" s="28">
        <v>6</v>
      </c>
      <c r="G7" s="27" t="s">
        <v>111</v>
      </c>
      <c r="H7" s="28">
        <v>30</v>
      </c>
      <c r="J7" s="27" t="s">
        <v>112</v>
      </c>
      <c r="K7" s="27" t="s">
        <v>113</v>
      </c>
      <c r="L7" s="27" t="s">
        <v>114</v>
      </c>
      <c r="M7" s="27" t="s">
        <v>115</v>
      </c>
      <c r="N7" s="27" t="s">
        <v>116</v>
      </c>
      <c r="O7" s="27" t="s">
        <v>117</v>
      </c>
      <c r="P7" s="27" t="s">
        <v>118</v>
      </c>
      <c r="R7" s="24" t="s">
        <v>119</v>
      </c>
      <c r="S7" s="30">
        <f ca="1">TODAY()</f>
        <v>45975</v>
      </c>
    </row>
    <row r="8" spans="2:20" ht="15" x14ac:dyDescent="0.25">
      <c r="B8" s="26">
        <f>IF($B$13=1,1,B7+1)</f>
        <v>6</v>
      </c>
      <c r="C8" s="27" t="s">
        <v>120</v>
      </c>
      <c r="E8" s="27" t="s">
        <v>121</v>
      </c>
      <c r="F8" s="28">
        <v>7</v>
      </c>
      <c r="G8" s="27" t="s">
        <v>122</v>
      </c>
      <c r="H8" s="28">
        <v>31</v>
      </c>
      <c r="J8" s="27" t="s">
        <v>123</v>
      </c>
      <c r="K8" s="27" t="s">
        <v>124</v>
      </c>
      <c r="L8" s="27" t="s">
        <v>125</v>
      </c>
      <c r="M8" s="27" t="s">
        <v>126</v>
      </c>
      <c r="N8" s="27" t="s">
        <v>127</v>
      </c>
      <c r="O8" s="27" t="s">
        <v>89</v>
      </c>
      <c r="P8" s="27" t="s">
        <v>128</v>
      </c>
      <c r="R8" s="24" t="s">
        <v>129</v>
      </c>
      <c r="S8" s="31">
        <f ca="1">NOW()</f>
        <v>45975.539411458332</v>
      </c>
    </row>
    <row r="9" spans="2:20" ht="15" x14ac:dyDescent="0.25">
      <c r="E9" s="27" t="s">
        <v>130</v>
      </c>
      <c r="F9" s="28">
        <v>8</v>
      </c>
      <c r="G9" s="27" t="s">
        <v>131</v>
      </c>
      <c r="H9" s="28">
        <v>31</v>
      </c>
      <c r="J9" s="27" t="s">
        <v>132</v>
      </c>
      <c r="K9" s="27" t="s">
        <v>133</v>
      </c>
      <c r="L9" s="27" t="s">
        <v>134</v>
      </c>
      <c r="M9" s="27" t="s">
        <v>97</v>
      </c>
      <c r="N9" s="27" t="s">
        <v>135</v>
      </c>
      <c r="O9" s="27" t="s">
        <v>78</v>
      </c>
      <c r="P9" s="27" t="s">
        <v>79</v>
      </c>
      <c r="R9" s="24" t="s">
        <v>136</v>
      </c>
      <c r="S9" s="25">
        <f ca="1">IF(HOUR(S8)&lt;HOUR(S3),R2,IF(HOUR(S8)&lt;HOUR(S4),R3,IF(HOUR(S8)&lt;HOUR(S2),R4,R2)))</f>
        <v>2</v>
      </c>
    </row>
    <row r="10" spans="2:20" ht="15" x14ac:dyDescent="0.25">
      <c r="E10" s="27" t="s">
        <v>137</v>
      </c>
      <c r="F10" s="28">
        <v>9</v>
      </c>
      <c r="G10" s="27" t="s">
        <v>138</v>
      </c>
      <c r="H10" s="28">
        <v>30</v>
      </c>
      <c r="J10" s="27" t="s">
        <v>139</v>
      </c>
      <c r="K10" s="27" t="s">
        <v>140</v>
      </c>
      <c r="L10" s="27" t="s">
        <v>6</v>
      </c>
      <c r="M10" s="27" t="s">
        <v>141</v>
      </c>
      <c r="N10" s="27" t="s">
        <v>142</v>
      </c>
      <c r="O10" s="27" t="s">
        <v>67</v>
      </c>
      <c r="P10" s="27" t="s">
        <v>143</v>
      </c>
      <c r="R10" s="24" t="s">
        <v>144</v>
      </c>
      <c r="S10" s="32" t="str">
        <f ca="1">INDEX($C$2:$C$8,MATCH(WEEKDAY(S7,$B$13),$B$2:$B$8,0))</f>
        <v>Friday</v>
      </c>
    </row>
    <row r="11" spans="2:20" ht="15" x14ac:dyDescent="0.25">
      <c r="E11" s="27" t="s">
        <v>145</v>
      </c>
      <c r="F11" s="28">
        <v>10</v>
      </c>
      <c r="G11" s="27" t="s">
        <v>146</v>
      </c>
      <c r="H11" s="28">
        <v>31</v>
      </c>
      <c r="J11" s="27" t="s">
        <v>147</v>
      </c>
      <c r="K11" s="27" t="s">
        <v>5</v>
      </c>
      <c r="L11" s="27" t="s">
        <v>148</v>
      </c>
      <c r="M11" s="27" t="s">
        <v>149</v>
      </c>
      <c r="N11" s="27" t="s">
        <v>150</v>
      </c>
      <c r="O11" s="27" t="s">
        <v>67</v>
      </c>
      <c r="P11" s="27" t="s">
        <v>151</v>
      </c>
      <c r="R11" s="24" t="s">
        <v>152</v>
      </c>
      <c r="S11" s="32" t="str">
        <f ca="1">INDEX($E$2:$E$13,MONTH($S$7))</f>
        <v>November</v>
      </c>
    </row>
    <row r="12" spans="2:20" ht="15" x14ac:dyDescent="0.25">
      <c r="B12" s="33" t="s">
        <v>153</v>
      </c>
      <c r="C12" s="34"/>
      <c r="E12" s="27" t="s">
        <v>154</v>
      </c>
      <c r="F12" s="28">
        <v>11</v>
      </c>
      <c r="G12" s="27" t="s">
        <v>155</v>
      </c>
      <c r="H12" s="28">
        <v>30</v>
      </c>
      <c r="J12" s="27" t="s">
        <v>156</v>
      </c>
      <c r="K12" s="27" t="s">
        <v>157</v>
      </c>
      <c r="L12" s="27" t="s">
        <v>158</v>
      </c>
      <c r="M12" s="27" t="s">
        <v>159</v>
      </c>
      <c r="N12" s="27" t="s">
        <v>160</v>
      </c>
      <c r="O12" s="27" t="s">
        <v>117</v>
      </c>
      <c r="P12" s="27" t="s">
        <v>79</v>
      </c>
    </row>
    <row r="13" spans="2:20" x14ac:dyDescent="0.2">
      <c r="B13" s="53">
        <v>3</v>
      </c>
      <c r="C13" s="53"/>
      <c r="E13" s="27" t="s">
        <v>161</v>
      </c>
      <c r="F13" s="28">
        <v>12</v>
      </c>
      <c r="G13" s="27" t="s">
        <v>162</v>
      </c>
      <c r="H13" s="28">
        <v>31</v>
      </c>
      <c r="J13" s="27" t="s">
        <v>163</v>
      </c>
      <c r="K13" s="27" t="s">
        <v>164</v>
      </c>
      <c r="L13" s="27" t="s">
        <v>165</v>
      </c>
      <c r="M13" s="27" t="s">
        <v>166</v>
      </c>
      <c r="N13" s="27" t="s">
        <v>167</v>
      </c>
      <c r="O13" s="27" t="s">
        <v>67</v>
      </c>
      <c r="P13" s="27" t="s">
        <v>143</v>
      </c>
    </row>
    <row r="15" spans="2:20" ht="15" thickBot="1" x14ac:dyDescent="0.25"/>
    <row r="16" spans="2:20" ht="15" x14ac:dyDescent="0.25">
      <c r="I16" s="35" t="s">
        <v>168</v>
      </c>
      <c r="J16" s="32" t="str">
        <f>INDEX($J$2:$J$13,MATCH(K16,K2:K13,0))</f>
        <v>Newark</v>
      </c>
      <c r="K16" s="32" t="str">
        <f>Scheduler!$G$2</f>
        <v>NEWARK</v>
      </c>
      <c r="N16" s="42" t="s">
        <v>169</v>
      </c>
      <c r="P16" s="42" t="s">
        <v>170</v>
      </c>
    </row>
    <row r="17" spans="2:22" x14ac:dyDescent="0.2">
      <c r="N17" s="44" t="s">
        <v>30</v>
      </c>
      <c r="P17" s="43" t="s">
        <v>171</v>
      </c>
      <c r="Q17" s="41"/>
      <c r="R17" s="41"/>
      <c r="S17" s="41"/>
      <c r="T17" s="41"/>
      <c r="U17" s="41"/>
      <c r="V17" s="41"/>
    </row>
    <row r="18" spans="2:22" x14ac:dyDescent="0.2">
      <c r="N18" s="44" t="s">
        <v>172</v>
      </c>
      <c r="P18" s="43" t="s">
        <v>173</v>
      </c>
    </row>
    <row r="19" spans="2:22" ht="15" thickBot="1" x14ac:dyDescent="0.25">
      <c r="N19" s="47" t="s">
        <v>174</v>
      </c>
      <c r="P19" s="43" t="s">
        <v>3</v>
      </c>
    </row>
    <row r="20" spans="2:22" x14ac:dyDescent="0.2">
      <c r="P20" s="43" t="s">
        <v>175</v>
      </c>
    </row>
    <row r="21" spans="2:22" x14ac:dyDescent="0.2">
      <c r="E21" s="25" t="s">
        <v>176</v>
      </c>
      <c r="J21" s="25" t="s">
        <v>177</v>
      </c>
      <c r="P21" s="43" t="s">
        <v>178</v>
      </c>
    </row>
    <row r="22" spans="2:22" ht="15" x14ac:dyDescent="0.25">
      <c r="B22" s="36"/>
      <c r="E22" s="25">
        <v>20</v>
      </c>
      <c r="F22" s="25" t="s">
        <v>179</v>
      </c>
      <c r="J22" s="25">
        <v>0</v>
      </c>
      <c r="K22" s="25" t="s">
        <v>180</v>
      </c>
      <c r="P22" s="44" t="s">
        <v>181</v>
      </c>
    </row>
    <row r="23" spans="2:22" ht="15" x14ac:dyDescent="0.25">
      <c r="B23"/>
      <c r="E23" s="25">
        <v>30</v>
      </c>
      <c r="F23" s="25" t="s">
        <v>182</v>
      </c>
      <c r="J23" s="25">
        <v>1</v>
      </c>
      <c r="K23" s="25" t="s">
        <v>183</v>
      </c>
      <c r="P23" s="43" t="s">
        <v>184</v>
      </c>
    </row>
    <row r="24" spans="2:22" ht="15" x14ac:dyDescent="0.25">
      <c r="B24"/>
      <c r="E24" s="25">
        <v>40</v>
      </c>
      <c r="F24" s="25" t="s">
        <v>185</v>
      </c>
      <c r="J24" s="25">
        <v>2</v>
      </c>
      <c r="K24" s="25" t="s">
        <v>186</v>
      </c>
      <c r="P24" s="44" t="s">
        <v>187</v>
      </c>
    </row>
    <row r="25" spans="2:22" ht="15" x14ac:dyDescent="0.25">
      <c r="B25"/>
      <c r="E25" s="25">
        <v>50</v>
      </c>
      <c r="F25" s="25" t="s">
        <v>188</v>
      </c>
      <c r="J25" s="25">
        <v>3</v>
      </c>
      <c r="K25" s="25" t="s">
        <v>189</v>
      </c>
      <c r="P25" s="44" t="s">
        <v>190</v>
      </c>
    </row>
    <row r="26" spans="2:22" ht="15.75" thickBot="1" x14ac:dyDescent="0.3">
      <c r="B26"/>
      <c r="E26" s="25">
        <v>60</v>
      </c>
      <c r="F26" s="25" t="s">
        <v>191</v>
      </c>
      <c r="J26" s="25">
        <v>5</v>
      </c>
      <c r="K26" s="25" t="s">
        <v>192</v>
      </c>
      <c r="P26" s="45" t="s">
        <v>193</v>
      </c>
    </row>
    <row r="27" spans="2:22" ht="15" x14ac:dyDescent="0.25">
      <c r="B27"/>
      <c r="E27" s="25">
        <v>70</v>
      </c>
      <c r="F27" s="25" t="s">
        <v>194</v>
      </c>
    </row>
    <row r="28" spans="2:22" x14ac:dyDescent="0.2">
      <c r="E28" s="25">
        <v>80</v>
      </c>
      <c r="F28" s="25" t="s">
        <v>195</v>
      </c>
    </row>
    <row r="30" spans="2:22" x14ac:dyDescent="0.2">
      <c r="G30" s="25" t="s">
        <v>196</v>
      </c>
    </row>
  </sheetData>
  <mergeCells count="1">
    <mergeCell ref="B13:C13"/>
  </mergeCells>
  <dataValidations count="2">
    <dataValidation type="list" allowBlank="1" showInputMessage="1" showErrorMessage="1" sqref="K16" xr:uid="{00000000-0002-0000-0100-000000000000}">
      <formula1>$K$2:$K$13</formula1>
    </dataValidation>
    <dataValidation type="list" allowBlank="1" showInputMessage="1" showErrorMessage="1" sqref="J16" xr:uid="{00000000-0002-0000-0100-000001000000}">
      <formula1>$J$2:$J$13</formula1>
    </dataValidation>
  </dataValidations>
  <pageMargins left="0.7" right="0.7" top="0.75" bottom="0.75" header="0.3" footer="0.3"/>
  <pageSetup orientation="portrait" verticalDpi="599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94db7be8-d7e9-4a74-9a20-054b79280074">
      <Terms xmlns="http://schemas.microsoft.com/office/infopath/2007/PartnerControls"/>
    </lcf76f155ced4ddcb4097134ff3c332f>
    <TaxCatchAll xmlns="21ed71ab-b03d-4ad2-9f39-83a0b72eb7a1" xsi:nil="true"/>
    <Inprogress_x003f_ xmlns="94db7be8-d7e9-4a74-9a20-054b79280074">false</Inprogress_x003f_>
    <Priority xmlns="94db7be8-d7e9-4a74-9a20-054b79280074" xsi:nil="true"/>
    <Notes xmlns="94db7be8-d7e9-4a74-9a20-054b79280074">USE THIS</Notes>
  </documentManagement>
</p:properties>
</file>

<file path=customXml/item3.xml>�� 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FC1389BE395634B8CEF303FCAE480FE" ma:contentTypeVersion="21" ma:contentTypeDescription="Create a new document." ma:contentTypeScope="" ma:versionID="5a71a1b3d12b35d3fbc568c0c2952854">
  <xsd:schema xmlns:xsd="http://www.w3.org/2001/XMLSchema" xmlns:xs="http://www.w3.org/2001/XMLSchema" xmlns:p="http://schemas.microsoft.com/office/2006/metadata/properties" xmlns:ns2="94db7be8-d7e9-4a74-9a20-054b79280074" xmlns:ns3="21ed71ab-b03d-4ad2-9f39-83a0b72eb7a1" targetNamespace="http://schemas.microsoft.com/office/2006/metadata/properties" ma:root="true" ma:fieldsID="97a4a3a56d78790f89120fa718d89f6e" ns2:_="" ns3:_="">
    <xsd:import namespace="94db7be8-d7e9-4a74-9a20-054b79280074"/>
    <xsd:import namespace="21ed71ab-b03d-4ad2-9f39-83a0b72eb7a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  <xsd:element ref="ns2:Priority" minOccurs="0"/>
                <xsd:element ref="ns2:Inprogress_x003f_" minOccurs="0"/>
                <xsd:element ref="ns2:Not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4db7be8-d7e9-4a74-9a20-054b7928007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2e2deea9-f698-482e-8f77-105b59b605f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Priority" ma:index="26" nillable="true" ma:displayName="Priority" ma:format="Dropdown" ma:internalName="Priority" ma:percentage="FALSE">
      <xsd:simpleType>
        <xsd:restriction base="dms:Number"/>
      </xsd:simpleType>
    </xsd:element>
    <xsd:element name="Inprogress_x003f_" ma:index="27" nillable="true" ma:displayName="In progress?" ma:default="0" ma:format="Dropdown" ma:internalName="Inprogress_x003f_">
      <xsd:simpleType>
        <xsd:restriction base="dms:Boolean"/>
      </xsd:simpleType>
    </xsd:element>
    <xsd:element name="Notes" ma:index="28" nillable="true" ma:displayName="Notes" ma:format="Dropdown" ma:internalName="Notes">
      <xsd:simpleType>
        <xsd:restriction base="dms:Text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1ed71ab-b03d-4ad2-9f39-83a0b72eb7a1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828b1d73-62e5-404f-9e68-ec493186b433}" ma:internalName="TaxCatchAll" ma:showField="CatchAllData" ma:web="21ed71ab-b03d-4ad2-9f39-83a0b72eb7a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B19EE997-0419-4C39-8335-5E144D0EF96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004D1DF-198A-4CA1-8E4E-2673589CEAF6}">
  <ds:schemaRefs>
    <ds:schemaRef ds:uri="http://purl.org/dc/elements/1.1/"/>
    <ds:schemaRef ds:uri="http://schemas.microsoft.com/office/infopath/2007/PartnerControls"/>
    <ds:schemaRef ds:uri="http://www.w3.org/XML/1998/namespace"/>
    <ds:schemaRef ds:uri="http://schemas.openxmlformats.org/package/2006/metadata/core-properties"/>
    <ds:schemaRef ds:uri="21ed71ab-b03d-4ad2-9f39-83a0b72eb7a1"/>
    <ds:schemaRef ds:uri="http://schemas.microsoft.com/office/2006/metadata/properties"/>
    <ds:schemaRef ds:uri="http://schemas.microsoft.com/office/2006/documentManagement/types"/>
    <ds:schemaRef ds:uri="http://purl.org/dc/dcmitype/"/>
    <ds:schemaRef ds:uri="94db7be8-d7e9-4a74-9a20-054b79280074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0AAB1EBF-7E38-4209-B0B6-E85936D43413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103FA252-B111-44C2-AD40-8DEFB5BCF96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4db7be8-d7e9-4a74-9a20-054b79280074"/>
    <ds:schemaRef ds:uri="21ed71ab-b03d-4ad2-9f39-83a0b72eb7a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Scheduler</vt:lpstr>
      <vt:lpstr>Lists</vt:lpstr>
      <vt:lpstr>Chart2</vt:lpstr>
      <vt:lpstr>DftPct</vt:lpstr>
      <vt:lpstr>ProductType</vt:lpstr>
    </vt:vector>
  </TitlesOfParts>
  <Manager/>
  <Company>Anheuser-Busch InBev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Moore, David</dc:creator>
  <cp:keywords/>
  <dc:description/>
  <cp:lastModifiedBy>Lee, Jason (NAZ-V)</cp:lastModifiedBy>
  <cp:revision/>
  <dcterms:created xsi:type="dcterms:W3CDTF">2018-11-29T17:10:27Z</dcterms:created>
  <dcterms:modified xsi:type="dcterms:W3CDTF">2025-11-14T18:57:10Z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0x010100AFC1389BE395634B8CEF303FCAE480FE</vt:lpwstr>
  </property>
  <property fmtid="{D5CDD505-2E9C-101B-9397-08002B2CF9AE}" pid="3" name="AuthorIds_UIVersion_9216">
    <vt:lpwstr>1495</vt:lpwstr>
  </property>
  <property fmtid="{D5CDD505-2E9C-101B-9397-08002B2CF9AE}" pid="4" name="xd_ProgID">
    <vt:lpwstr/>
  </property>
  <property fmtid="{D5CDD505-2E9C-101B-9397-08002B2CF9AE}" pid="5" name="MediaServiceImageTags">
    <vt:lpwstr/>
  </property>
  <property fmtid="{D5CDD505-2E9C-101B-9397-08002B2CF9AE}" pid="6" name="ComplianceAssetId">
    <vt:lpwstr/>
  </property>
  <property fmtid="{D5CDD505-2E9C-101B-9397-08002B2CF9AE}" pid="7" name="TemplateUrl">
    <vt:lpwstr/>
  </property>
  <property fmtid="{D5CDD505-2E9C-101B-9397-08002B2CF9AE}" pid="8" name="_ExtendedDescription">
    <vt:lpwstr/>
  </property>
  <property fmtid="{D5CDD505-2E9C-101B-9397-08002B2CF9AE}" pid="9" name="TriggerFlowInfo">
    <vt:lpwstr/>
  </property>
  <property fmtid="{D5CDD505-2E9C-101B-9397-08002B2CF9AE}" pid="10" name="xd_Signature">
    <vt:bool>false</vt:bool>
  </property>
</Properties>
</file>